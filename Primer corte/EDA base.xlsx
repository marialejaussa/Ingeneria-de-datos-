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FF3D0CEB-798C-4913-9A25-6862129E335C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Mapa del libro" sheetId="1" r:id="rId1"/>
    <sheet name="Datos" sheetId="2" r:id="rId2"/>
    <sheet name="Limpieza" sheetId="3" r:id="rId3"/>
    <sheet name="Univariado" sheetId="4" r:id="rId4"/>
    <sheet name="Bivariado" sheetId="5" r:id="rId5"/>
    <sheet name="Correlacion" sheetId="6" r:id="rId6"/>
    <sheet name="Conclusiones" sheetId="7" r:id="rId7"/>
  </sheets>
  <definedNames>
    <definedName name="_xlchart.v1.0" hidden="1">Datos!$C$2:$C$731</definedName>
    <definedName name="_xlchart.v1.1" hidden="1">Datos!$D$1</definedName>
    <definedName name="_xlchart.v1.2" hidden="1">Datos!$D$2:$D$731</definedName>
  </definedNames>
  <calcPr calcId="191029"/>
  <pivotCaches>
    <pivotCache cacheId="13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6" l="1"/>
  <c r="B8" i="4"/>
  <c r="B7" i="4"/>
  <c r="B6" i="4"/>
  <c r="B5" i="4"/>
  <c r="B4" i="4"/>
  <c r="B7" i="3"/>
  <c r="C7" i="3" s="1"/>
  <c r="B6" i="3" a="1"/>
  <c r="B6" i="3" s="1"/>
  <c r="C6" i="3" s="1"/>
  <c r="B5" i="3" a="1"/>
  <c r="B5" i="3" s="1"/>
  <c r="B4" i="3"/>
  <c r="C4" i="3" s="1"/>
  <c r="B8" i="5" l="1"/>
  <c r="C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<sst xmlns="http://schemas.openxmlformats.org/spreadsheetml/2006/main" count="125" uniqueCount="100">
  <si>
    <t>EDA — Análisis Exploratorio de Datos (Dataset de Tiempo y Clima)</t>
  </si>
  <si>
    <t>Acompaña a la guía de la actividad: resuelto de forma profesional con fórmulas dinámicas de Excel.</t>
  </si>
  <si>
    <t>Hoja</t>
  </si>
  <si>
    <t>Descripción</t>
  </si>
  <si>
    <t>Datos</t>
  </si>
  <si>
    <t>Registro crudo de variables de tiempo y clima (731 filas originales).</t>
  </si>
  <si>
    <t>Limpieza</t>
  </si>
  <si>
    <t>Panel ETL: Valida duplicados, nulos y errores de formato.</t>
  </si>
  <si>
    <t>Univariado</t>
  </si>
  <si>
    <t>Estadísticas descriptivas de volumen (instant) y tendencias anuales.</t>
  </si>
  <si>
    <t>Bivariado</t>
  </si>
  <si>
    <t>Análisis cruzado: Frecuencias por estación del año (season).</t>
  </si>
  <si>
    <t>Correlacion</t>
  </si>
  <si>
    <t>Evaluación de asociación matemática lineal entre fechas e índices.</t>
  </si>
  <si>
    <t>Conclusiones</t>
  </si>
  <si>
    <t>Sección formal con hallazgos e hipótesis basadas en el análisis técnico.</t>
  </si>
  <si>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</si>
  <si>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</si>
  <si>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</si>
  <si>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</si>
  <si>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</si>
  <si>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</si>
  <si>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</si>
  <si>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</si>
  <si>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</si>
  <si>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</si>
  <si>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Panel ETL — Control de Calidad de Datos</t>
  </si>
  <si>
    <t>Métrica de Control</t>
  </si>
  <si>
    <t>Valor Calculado</t>
  </si>
  <si>
    <t>Estado</t>
  </si>
  <si>
    <t>DATOS NULOS</t>
  </si>
  <si>
    <t>ERRORES DE FORMATO</t>
  </si>
  <si>
    <t>DUPLICADOS</t>
  </si>
  <si>
    <t>CANTIDAD DE DATOS</t>
  </si>
  <si>
    <t>Análisis Exploratorio Univariado — Estadísticas Descriptivas</t>
  </si>
  <si>
    <t>Estadística de instant</t>
  </si>
  <si>
    <t>Conteo</t>
  </si>
  <si>
    <t>Promedio</t>
  </si>
  <si>
    <t>Mínimo</t>
  </si>
  <si>
    <t>Máximo</t>
  </si>
  <si>
    <t>Mediana</t>
  </si>
  <si>
    <t>Etiquetas de fila</t>
  </si>
  <si>
    <t>Cuenta de instant</t>
  </si>
  <si>
    <t>2018</t>
  </si>
  <si>
    <t>2019</t>
  </si>
  <si>
    <t>Total general</t>
  </si>
  <si>
    <t>Análisis Bivariado — Distribución por Estación (season)</t>
  </si>
  <si>
    <t>Análisis de Correlación Estadística Lineal</t>
  </si>
  <si>
    <t>Métrica de Análisis</t>
  </si>
  <si>
    <t>Interpretación</t>
  </si>
  <si>
    <t>Informe de Conclusiones y Validación de Hipótesis</t>
  </si>
  <si>
    <t>Componente</t>
  </si>
  <si>
    <t>Hallazgo Técnico Encontrado</t>
  </si>
  <si>
    <t>Hallazgo 1</t>
  </si>
  <si>
    <t>El análisis univariado confirma una consistencia perfecta en la secuencia de carga de datos sin saltos temporales.</t>
  </si>
  <si>
    <t>Hallazgo 2</t>
  </si>
  <si>
    <t>La distribución estacional revela que Otoño (Estación 3) concentra la mayor densidad operativa con 188 registros totales.</t>
  </si>
  <si>
    <t>Hipótesis a Validar</t>
  </si>
  <si>
    <t>8.2</t>
  </si>
  <si>
    <t>10.66</t>
  </si>
  <si>
    <t>22.14</t>
  </si>
  <si>
    <t>12.3</t>
  </si>
  <si>
    <t>18.86</t>
  </si>
  <si>
    <t>25.42</t>
  </si>
  <si>
    <t>20.91</t>
  </si>
  <si>
    <t>21.32</t>
  </si>
  <si>
    <t>22.55</t>
  </si>
  <si>
    <t>27.06</t>
  </si>
  <si>
    <t>27.88</t>
  </si>
  <si>
    <t>29.52</t>
  </si>
  <si>
    <t>30.75</t>
  </si>
  <si>
    <t>34.03</t>
  </si>
  <si>
    <t>29.11</t>
  </si>
  <si>
    <t>28.7</t>
  </si>
  <si>
    <t>26.65</t>
  </si>
  <si>
    <t>16.81</t>
  </si>
  <si>
    <t>19.27</t>
  </si>
  <si>
    <t>13.94</t>
  </si>
  <si>
    <t>16.4</t>
  </si>
  <si>
    <t>15.58</t>
  </si>
  <si>
    <t>21.73</t>
  </si>
  <si>
    <t>15.17</t>
  </si>
  <si>
    <t>6.15</t>
  </si>
  <si>
    <t>7.38</t>
  </si>
  <si>
    <t>7.79</t>
  </si>
  <si>
    <t>15.99</t>
  </si>
  <si>
    <t>11.48</t>
  </si>
  <si>
    <t>20.5</t>
  </si>
  <si>
    <t>23.37</t>
  </si>
  <si>
    <t>22.96</t>
  </si>
  <si>
    <t>24.6</t>
  </si>
  <si>
    <t>28.29</t>
  </si>
  <si>
    <t>31.57</t>
  </si>
  <si>
    <t>25.01</t>
  </si>
  <si>
    <t>23.78</t>
  </si>
  <si>
    <t>18.04</t>
  </si>
  <si>
    <t>13.53</t>
  </si>
  <si>
    <t>Coeficiente de correlación (instant vs temp)</t>
  </si>
  <si>
    <t>Correlación positiva muy débil o nula (r ≈ 0.07). No existe una relación lineal directa entre ambas variables.</t>
  </si>
  <si>
    <r>
      <t>El análisis de correlación (r</t>
    </r>
    <r>
      <rPr>
        <sz val="11"/>
        <color theme="1"/>
        <rFont val="Aptos Narrow"/>
        <family val="2"/>
      </rPr>
      <t>≈</t>
    </r>
    <r>
      <rPr>
        <sz val="11"/>
        <color theme="1"/>
        <rFont val="Arial"/>
        <family val="2"/>
      </rPr>
      <t xml:space="preserve"> 0.07</t>
    </r>
    <r>
      <rPr>
        <sz val="11"/>
        <color theme="1"/>
        <rFont val="Calibri"/>
        <family val="2"/>
        <scheme val="minor"/>
      </rPr>
      <t>) confirma que la secuencia de días no presenta una dependencia lineal directa con las variaciones térmicas, evidenciando un comportamiento cíclico estacional.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</si>
</sst>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1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base.xlsx]Univariado!TablaDinámica2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Univariado!$B$12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Univariado!$A$13:$A$39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Univariado!$B$13:$B$39</c:f>
              <c:numCache>
                <c:formatCode>General</c:formatCode>
                <c:ptCount val="24"/>
                <c:pt idx="0">
                  <c:v>31</c:v>
                </c:pt>
                <c:pt idx="1">
                  <c:v>28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31</c:v>
                </c:pt>
                <c:pt idx="12">
                  <c:v>31</c:v>
                </c:pt>
                <c:pt idx="13">
                  <c:v>28</c:v>
                </c:pt>
                <c:pt idx="14">
                  <c:v>31</c:v>
                </c:pt>
                <c:pt idx="15">
                  <c:v>30</c:v>
                </c:pt>
                <c:pt idx="16">
                  <c:v>31</c:v>
                </c:pt>
                <c:pt idx="17">
                  <c:v>30</c:v>
                </c:pt>
                <c:pt idx="18">
                  <c:v>31</c:v>
                </c:pt>
                <c:pt idx="19">
                  <c:v>31</c:v>
                </c:pt>
                <c:pt idx="20">
                  <c:v>30</c:v>
                </c:pt>
                <c:pt idx="21">
                  <c:v>31</c:v>
                </c:pt>
                <c:pt idx="22">
                  <c:v>30</c:v>
                </c:pt>
                <c:pt idx="2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C0-412D-A108-FBD9EDBB8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8908112"/>
        <c:axId val="29473232"/>
      </c:lineChart>
      <c:catAx>
        <c:axId val="8289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9473232"/>
        <c:crosses val="autoZero"/>
        <c:auto val="1"/>
        <c:lblAlgn val="ctr"/>
        <c:lblOffset val="100"/>
        <c:noMultiLvlLbl val="0"/>
      </c:catAx>
      <c:valAx>
        <c:axId val="2947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890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Distribución de Registros por Estación (season)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Bivariado!$B$3</c:f>
              <c:strCache>
                <c:ptCount val="1"/>
                <c:pt idx="0">
                  <c:v>Cuenta de instant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Bivariado!$A$4:$A$7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Bivariado!$B$4:$B$7</c:f>
              <c:numCache>
                <c:formatCode>General</c:formatCode>
                <c:ptCount val="4"/>
                <c:pt idx="0">
                  <c:v>180</c:v>
                </c:pt>
                <c:pt idx="1">
                  <c:v>184</c:v>
                </c:pt>
                <c:pt idx="2">
                  <c:v>188</c:v>
                </c:pt>
                <c:pt idx="3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6-4818-A75F-D39713329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Estaciones (1-4)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 Absoluta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97259184208562"/>
          <c:y val="1.7349862312282516E-2"/>
          <c:w val="0.84047975489266746"/>
          <c:h val="0.8821362549376973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Datos!$J$1:$J$731</c:f>
              <c:numCache>
                <c:formatCode>#,##0</c:formatCode>
                <c:ptCount val="731"/>
                <c:pt idx="0" formatCode="General">
                  <c:v>0</c:v>
                </c:pt>
                <c:pt idx="1">
                  <c:v>14110847</c:v>
                </c:pt>
                <c:pt idx="2">
                  <c:v>14902598</c:v>
                </c:pt>
                <c:pt idx="3">
                  <c:v>8050924</c:v>
                </c:pt>
                <c:pt idx="4" formatCode="General">
                  <c:v>0</c:v>
                </c:pt>
                <c:pt idx="5">
                  <c:v>9305237</c:v>
                </c:pt>
                <c:pt idx="6">
                  <c:v>8378268</c:v>
                </c:pt>
                <c:pt idx="7">
                  <c:v>8057402</c:v>
                </c:pt>
                <c:pt idx="8">
                  <c:v>6765</c:v>
                </c:pt>
                <c:pt idx="9">
                  <c:v>5671653</c:v>
                </c:pt>
                <c:pt idx="10">
                  <c:v>6184153</c:v>
                </c:pt>
                <c:pt idx="11">
                  <c:v>6932731</c:v>
                </c:pt>
                <c:pt idx="12">
                  <c:v>7081807</c:v>
                </c:pt>
                <c:pt idx="13">
                  <c:v>6765</c:v>
                </c:pt>
                <c:pt idx="14">
                  <c:v>659567</c:v>
                </c:pt>
                <c:pt idx="15">
                  <c:v>9566653</c:v>
                </c:pt>
                <c:pt idx="16">
                  <c:v>9498347</c:v>
                </c:pt>
                <c:pt idx="17">
                  <c:v>7209153</c:v>
                </c:pt>
                <c:pt idx="18">
                  <c:v>8883347</c:v>
                </c:pt>
                <c:pt idx="19">
                  <c:v>11979134</c:v>
                </c:pt>
                <c:pt idx="20">
                  <c:v>10728347</c:v>
                </c:pt>
                <c:pt idx="21">
                  <c:v>72775</c:v>
                </c:pt>
                <c:pt idx="22">
                  <c:v>24243464</c:v>
                </c:pt>
                <c:pt idx="23">
                  <c:v>39573897</c:v>
                </c:pt>
                <c:pt idx="24">
                  <c:v>39930433</c:v>
                </c:pt>
                <c:pt idx="25">
                  <c:v>9162598</c:v>
                </c:pt>
                <c:pt idx="26">
                  <c:v>89175</c:v>
                </c:pt>
                <c:pt idx="27">
                  <c:v>7995</c:v>
                </c:pt>
                <c:pt idx="28">
                  <c:v>8342598</c:v>
                </c:pt>
                <c:pt idx="29">
                  <c:v>8057402</c:v>
                </c:pt>
                <c:pt idx="30">
                  <c:v>8877402</c:v>
                </c:pt>
                <c:pt idx="31">
                  <c:v>7414153</c:v>
                </c:pt>
                <c:pt idx="32">
                  <c:v>7879134</c:v>
                </c:pt>
                <c:pt idx="33" formatCode="General">
                  <c:v>0</c:v>
                </c:pt>
                <c:pt idx="34">
                  <c:v>7665237</c:v>
                </c:pt>
                <c:pt idx="35">
                  <c:v>8663464</c:v>
                </c:pt>
                <c:pt idx="36">
                  <c:v>9566653</c:v>
                </c:pt>
                <c:pt idx="37">
                  <c:v>11719153</c:v>
                </c:pt>
                <c:pt idx="38">
                  <c:v>11138347</c:v>
                </c:pt>
                <c:pt idx="39">
                  <c:v>9054153</c:v>
                </c:pt>
                <c:pt idx="40">
                  <c:v>5526103</c:v>
                </c:pt>
                <c:pt idx="41">
                  <c:v>5918268</c:v>
                </c:pt>
                <c:pt idx="42">
                  <c:v>7752731</c:v>
                </c:pt>
                <c:pt idx="43">
                  <c:v>91225</c:v>
                </c:pt>
                <c:pt idx="44">
                  <c:v>12977402</c:v>
                </c:pt>
                <c:pt idx="45">
                  <c:v>17015</c:v>
                </c:pt>
                <c:pt idx="46">
                  <c:v>10909567</c:v>
                </c:pt>
                <c:pt idx="47">
                  <c:v>13048701</c:v>
                </c:pt>
                <c:pt idx="48">
                  <c:v>17869153</c:v>
                </c:pt>
                <c:pt idx="49">
                  <c:v>21388347</c:v>
                </c:pt>
                <c:pt idx="50">
                  <c:v>16365847</c:v>
                </c:pt>
                <c:pt idx="51">
                  <c:v>11693897</c:v>
                </c:pt>
                <c:pt idx="52">
                  <c:v>12436653</c:v>
                </c:pt>
                <c:pt idx="53">
                  <c:v>7471102</c:v>
                </c:pt>
                <c:pt idx="54">
                  <c:v>9091299</c:v>
                </c:pt>
                <c:pt idx="55">
                  <c:v>12121732</c:v>
                </c:pt>
                <c:pt idx="56">
                  <c:v>14938268</c:v>
                </c:pt>
                <c:pt idx="57">
                  <c:v>115825</c:v>
                </c:pt>
                <c:pt idx="58">
                  <c:v>14082598</c:v>
                </c:pt>
                <c:pt idx="59">
                  <c:v>16698193</c:v>
                </c:pt>
                <c:pt idx="60">
                  <c:v>10933347</c:v>
                </c:pt>
                <c:pt idx="61">
                  <c:v>13735</c:v>
                </c:pt>
                <c:pt idx="62">
                  <c:v>8131653</c:v>
                </c:pt>
                <c:pt idx="63">
                  <c:v>10728347</c:v>
                </c:pt>
                <c:pt idx="64">
                  <c:v>15750847</c:v>
                </c:pt>
                <c:pt idx="65">
                  <c:v>15437402</c:v>
                </c:pt>
                <c:pt idx="66">
                  <c:v>10731299</c:v>
                </c:pt>
                <c:pt idx="67">
                  <c:v>119925</c:v>
                </c:pt>
                <c:pt idx="68">
                  <c:v>12129153</c:v>
                </c:pt>
                <c:pt idx="69">
                  <c:v>15952731</c:v>
                </c:pt>
                <c:pt idx="70">
                  <c:v>12977402</c:v>
                </c:pt>
                <c:pt idx="71">
                  <c:v>13495847</c:v>
                </c:pt>
                <c:pt idx="72">
                  <c:v>15758268</c:v>
                </c:pt>
                <c:pt idx="73">
                  <c:v>13333897</c:v>
                </c:pt>
                <c:pt idx="74">
                  <c:v>13013031</c:v>
                </c:pt>
                <c:pt idx="75">
                  <c:v>14973897</c:v>
                </c:pt>
                <c:pt idx="76">
                  <c:v>17015</c:v>
                </c:pt>
                <c:pt idx="77" formatCode="General">
                  <c:v>0</c:v>
                </c:pt>
                <c:pt idx="78">
                  <c:v>193725</c:v>
                </c:pt>
                <c:pt idx="79">
                  <c:v>136325</c:v>
                </c:pt>
                <c:pt idx="80">
                  <c:v>17647835</c:v>
                </c:pt>
                <c:pt idx="81">
                  <c:v>18108347</c:v>
                </c:pt>
                <c:pt idx="82">
                  <c:v>14225237</c:v>
                </c:pt>
                <c:pt idx="83">
                  <c:v>11685</c:v>
                </c:pt>
                <c:pt idx="84">
                  <c:v>10830847</c:v>
                </c:pt>
                <c:pt idx="85">
                  <c:v>10899153</c:v>
                </c:pt>
                <c:pt idx="86">
                  <c:v>10374763</c:v>
                </c:pt>
                <c:pt idx="87">
                  <c:v>10838268</c:v>
                </c:pt>
                <c:pt idx="88">
                  <c:v>124025</c:v>
                </c:pt>
                <c:pt idx="89" formatCode="General">
                  <c:v>0</c:v>
                </c:pt>
                <c:pt idx="90">
                  <c:v>11001653</c:v>
                </c:pt>
                <c:pt idx="91" formatCode="General">
                  <c:v>0</c:v>
                </c:pt>
                <c:pt idx="92">
                  <c:v>12915</c:v>
                </c:pt>
                <c:pt idx="93">
                  <c:v>15511653</c:v>
                </c:pt>
                <c:pt idx="94">
                  <c:v>23506653</c:v>
                </c:pt>
                <c:pt idx="95">
                  <c:v>16980847</c:v>
                </c:pt>
                <c:pt idx="96">
                  <c:v>16024153</c:v>
                </c:pt>
                <c:pt idx="97">
                  <c:v>179375</c:v>
                </c:pt>
                <c:pt idx="98">
                  <c:v>13769153</c:v>
                </c:pt>
                <c:pt idx="99">
                  <c:v>140425</c:v>
                </c:pt>
                <c:pt idx="100">
                  <c:v>17493347</c:v>
                </c:pt>
                <c:pt idx="101">
                  <c:v>24421732</c:v>
                </c:pt>
                <c:pt idx="102">
                  <c:v>206025</c:v>
                </c:pt>
                <c:pt idx="103">
                  <c:v>169125</c:v>
                </c:pt>
                <c:pt idx="104">
                  <c:v>191675</c:v>
                </c:pt>
                <c:pt idx="105">
                  <c:v>18313347</c:v>
                </c:pt>
                <c:pt idx="106">
                  <c:v>17664153</c:v>
                </c:pt>
                <c:pt idx="107">
                  <c:v>18723347</c:v>
                </c:pt>
                <c:pt idx="108">
                  <c:v>210125</c:v>
                </c:pt>
                <c:pt idx="109">
                  <c:v>20739153</c:v>
                </c:pt>
                <c:pt idx="110">
                  <c:v>24395</c:v>
                </c:pt>
                <c:pt idx="111">
                  <c:v>18825847</c:v>
                </c:pt>
                <c:pt idx="112">
                  <c:v>13803347</c:v>
                </c:pt>
                <c:pt idx="113" formatCode="General">
                  <c:v>0</c:v>
                </c:pt>
                <c:pt idx="114">
                  <c:v>23848347</c:v>
                </c:pt>
                <c:pt idx="115">
                  <c:v>24873347</c:v>
                </c:pt>
                <c:pt idx="116">
                  <c:v>25898347</c:v>
                </c:pt>
                <c:pt idx="117" formatCode="General">
                  <c:v>0</c:v>
                </c:pt>
                <c:pt idx="118">
                  <c:v>253175</c:v>
                </c:pt>
                <c:pt idx="119" formatCode="General">
                  <c:v>0</c:v>
                </c:pt>
                <c:pt idx="120">
                  <c:v>193725</c:v>
                </c:pt>
                <c:pt idx="121">
                  <c:v>18518347</c:v>
                </c:pt>
                <c:pt idx="122">
                  <c:v>22515847</c:v>
                </c:pt>
                <c:pt idx="123">
                  <c:v>25283347</c:v>
                </c:pt>
                <c:pt idx="124">
                  <c:v>16980847</c:v>
                </c:pt>
                <c:pt idx="125">
                  <c:v>18825847</c:v>
                </c:pt>
                <c:pt idx="126">
                  <c:v>19645847</c:v>
                </c:pt>
                <c:pt idx="127" formatCode="General">
                  <c:v>0</c:v>
                </c:pt>
                <c:pt idx="128">
                  <c:v>21661653</c:v>
                </c:pt>
                <c:pt idx="129">
                  <c:v>218325</c:v>
                </c:pt>
                <c:pt idx="130">
                  <c:v>218325</c:v>
                </c:pt>
                <c:pt idx="131">
                  <c:v>222425</c:v>
                </c:pt>
                <c:pt idx="132">
                  <c:v>21935</c:v>
                </c:pt>
                <c:pt idx="133">
                  <c:v>210125</c:v>
                </c:pt>
                <c:pt idx="134">
                  <c:v>21354153</c:v>
                </c:pt>
                <c:pt idx="135">
                  <c:v>230625</c:v>
                </c:pt>
                <c:pt idx="136">
                  <c:v>236775</c:v>
                </c:pt>
                <c:pt idx="137">
                  <c:v>23028347</c:v>
                </c:pt>
                <c:pt idx="138" formatCode="General">
                  <c:v>0</c:v>
                </c:pt>
                <c:pt idx="139">
                  <c:v>21764153</c:v>
                </c:pt>
                <c:pt idx="140">
                  <c:v>22003347</c:v>
                </c:pt>
                <c:pt idx="141">
                  <c:v>247025</c:v>
                </c:pt>
                <c:pt idx="142">
                  <c:v>24770847</c:v>
                </c:pt>
                <c:pt idx="143">
                  <c:v>25898347</c:v>
                </c:pt>
                <c:pt idx="144" formatCode="General">
                  <c:v>0</c:v>
                </c:pt>
                <c:pt idx="145">
                  <c:v>27094153</c:v>
                </c:pt>
                <c:pt idx="146">
                  <c:v>29041653</c:v>
                </c:pt>
                <c:pt idx="147">
                  <c:v>27948347</c:v>
                </c:pt>
                <c:pt idx="148">
                  <c:v>26889153</c:v>
                </c:pt>
                <c:pt idx="149">
                  <c:v>273675</c:v>
                </c:pt>
                <c:pt idx="150">
                  <c:v>30066653</c:v>
                </c:pt>
                <c:pt idx="151">
                  <c:v>31775</c:v>
                </c:pt>
                <c:pt idx="152">
                  <c:v>31330847</c:v>
                </c:pt>
                <c:pt idx="153">
                  <c:v>29315</c:v>
                </c:pt>
                <c:pt idx="154" formatCode="General">
                  <c:v>0</c:v>
                </c:pt>
                <c:pt idx="155">
                  <c:v>26035</c:v>
                </c:pt>
                <c:pt idx="156">
                  <c:v>26581653</c:v>
                </c:pt>
                <c:pt idx="157">
                  <c:v>27811653</c:v>
                </c:pt>
                <c:pt idx="158">
                  <c:v>290075</c:v>
                </c:pt>
                <c:pt idx="159">
                  <c:v>31809153</c:v>
                </c:pt>
                <c:pt idx="160">
                  <c:v>33141653</c:v>
                </c:pt>
                <c:pt idx="161">
                  <c:v>30955</c:v>
                </c:pt>
                <c:pt idx="162">
                  <c:v>29725</c:v>
                </c:pt>
                <c:pt idx="163">
                  <c:v>283925</c:v>
                </c:pt>
                <c:pt idx="164">
                  <c:v>26035</c:v>
                </c:pt>
                <c:pt idx="165">
                  <c:v>24770847</c:v>
                </c:pt>
                <c:pt idx="166">
                  <c:v>25693347</c:v>
                </c:pt>
                <c:pt idx="167">
                  <c:v>25761653</c:v>
                </c:pt>
                <c:pt idx="168">
                  <c:v>26615847</c:v>
                </c:pt>
                <c:pt idx="169">
                  <c:v>28563347</c:v>
                </c:pt>
                <c:pt idx="170">
                  <c:v>28665847</c:v>
                </c:pt>
                <c:pt idx="171">
                  <c:v>26035</c:v>
                </c:pt>
                <c:pt idx="172">
                  <c:v>27914153</c:v>
                </c:pt>
                <c:pt idx="173">
                  <c:v>30066653</c:v>
                </c:pt>
                <c:pt idx="174">
                  <c:v>29861653</c:v>
                </c:pt>
                <c:pt idx="175">
                  <c:v>29690847</c:v>
                </c:pt>
                <c:pt idx="176">
                  <c:v>28495</c:v>
                </c:pt>
                <c:pt idx="177" formatCode="General">
                  <c:v>0</c:v>
                </c:pt>
                <c:pt idx="178">
                  <c:v>279825</c:v>
                </c:pt>
                <c:pt idx="179">
                  <c:v>30510847</c:v>
                </c:pt>
                <c:pt idx="180">
                  <c:v>29861653</c:v>
                </c:pt>
                <c:pt idx="181">
                  <c:v>28563347</c:v>
                </c:pt>
                <c:pt idx="182">
                  <c:v>296225</c:v>
                </c:pt>
                <c:pt idx="183">
                  <c:v>30271653</c:v>
                </c:pt>
                <c:pt idx="184">
                  <c:v>29383347</c:v>
                </c:pt>
                <c:pt idx="185">
                  <c:v>29793347</c:v>
                </c:pt>
                <c:pt idx="186">
                  <c:v>30613347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>
                  <c:v>29075847</c:v>
                </c:pt>
                <c:pt idx="190">
                  <c:v>30066653</c:v>
                </c:pt>
                <c:pt idx="191">
                  <c:v>306475</c:v>
                </c:pt>
                <c:pt idx="192">
                  <c:v>312625</c:v>
                </c:pt>
                <c:pt idx="193">
                  <c:v>32560847</c:v>
                </c:pt>
                <c:pt idx="194">
                  <c:v>30613347</c:v>
                </c:pt>
                <c:pt idx="195">
                  <c:v>27914153</c:v>
                </c:pt>
                <c:pt idx="196">
                  <c:v>27196653</c:v>
                </c:pt>
                <c:pt idx="197">
                  <c:v>28153347</c:v>
                </c:pt>
                <c:pt idx="198">
                  <c:v>29485847</c:v>
                </c:pt>
                <c:pt idx="199">
                  <c:v>30613347</c:v>
                </c:pt>
                <c:pt idx="200">
                  <c:v>31843347</c:v>
                </c:pt>
                <c:pt idx="201">
                  <c:v>31501653</c:v>
                </c:pt>
                <c:pt idx="202">
                  <c:v>33415</c:v>
                </c:pt>
                <c:pt idx="203">
                  <c:v>34781653</c:v>
                </c:pt>
                <c:pt idx="204">
                  <c:v>34815847</c:v>
                </c:pt>
                <c:pt idx="205" formatCode="General">
                  <c:v>0</c:v>
                </c:pt>
                <c:pt idx="206">
                  <c:v>30476653</c:v>
                </c:pt>
                <c:pt idx="207">
                  <c:v>31638347</c:v>
                </c:pt>
                <c:pt idx="208">
                  <c:v>31775</c:v>
                </c:pt>
                <c:pt idx="209">
                  <c:v>31945847</c:v>
                </c:pt>
                <c:pt idx="210">
                  <c:v>34371653</c:v>
                </c:pt>
                <c:pt idx="211">
                  <c:v>32970847</c:v>
                </c:pt>
                <c:pt idx="212">
                  <c:v>33039153</c:v>
                </c:pt>
                <c:pt idx="213">
                  <c:v>31638347</c:v>
                </c:pt>
                <c:pt idx="214">
                  <c:v>32116653</c:v>
                </c:pt>
                <c:pt idx="215">
                  <c:v>29998347</c:v>
                </c:pt>
                <c:pt idx="216" formatCode="General">
                  <c:v>0</c:v>
                </c:pt>
                <c:pt idx="217">
                  <c:v>29144153</c:v>
                </c:pt>
                <c:pt idx="218">
                  <c:v>29383347</c:v>
                </c:pt>
                <c:pt idx="219">
                  <c:v>304425</c:v>
                </c:pt>
                <c:pt idx="220">
                  <c:v>31365</c:v>
                </c:pt>
                <c:pt idx="221">
                  <c:v>31775</c:v>
                </c:pt>
                <c:pt idx="222">
                  <c:v>31433347</c:v>
                </c:pt>
                <c:pt idx="223">
                  <c:v>294175</c:v>
                </c:pt>
                <c:pt idx="224">
                  <c:v>29041653</c:v>
                </c:pt>
                <c:pt idx="225">
                  <c:v>28119153</c:v>
                </c:pt>
                <c:pt idx="226">
                  <c:v>27743347</c:v>
                </c:pt>
                <c:pt idx="227">
                  <c:v>27299153</c:v>
                </c:pt>
                <c:pt idx="228">
                  <c:v>28734153</c:v>
                </c:pt>
                <c:pt idx="229">
                  <c:v>29656653</c:v>
                </c:pt>
                <c:pt idx="230">
                  <c:v>29178347</c:v>
                </c:pt>
                <c:pt idx="231">
                  <c:v>28085</c:v>
                </c:pt>
                <c:pt idx="232">
                  <c:v>285975</c:v>
                </c:pt>
                <c:pt idx="233">
                  <c:v>29144153</c:v>
                </c:pt>
                <c:pt idx="234">
                  <c:v>28358347</c:v>
                </c:pt>
                <c:pt idx="235">
                  <c:v>26274153</c:v>
                </c:pt>
                <c:pt idx="236">
                  <c:v>27606653</c:v>
                </c:pt>
                <c:pt idx="237">
                  <c:v>28050847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>
                  <c:v>28989419</c:v>
                </c:pt>
                <c:pt idx="241">
                  <c:v>26103347</c:v>
                </c:pt>
                <c:pt idx="242">
                  <c:v>26205847</c:v>
                </c:pt>
                <c:pt idx="243">
                  <c:v>26923347</c:v>
                </c:pt>
                <c:pt idx="244">
                  <c:v>26855</c:v>
                </c:pt>
                <c:pt idx="245">
                  <c:v>26376653</c:v>
                </c:pt>
                <c:pt idx="246">
                  <c:v>27435847</c:v>
                </c:pt>
                <c:pt idx="247">
                  <c:v>29075847</c:v>
                </c:pt>
                <c:pt idx="248">
                  <c:v>27606653</c:v>
                </c:pt>
                <c:pt idx="249" formatCode="General">
                  <c:v>0</c:v>
                </c:pt>
                <c:pt idx="250">
                  <c:v>24565847</c:v>
                </c:pt>
                <c:pt idx="251">
                  <c:v>25990433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>
                  <c:v>26786653</c:v>
                </c:pt>
                <c:pt idx="255">
                  <c:v>26418268</c:v>
                </c:pt>
                <c:pt idx="256">
                  <c:v>26684153</c:v>
                </c:pt>
                <c:pt idx="257">
                  <c:v>27606653</c:v>
                </c:pt>
                <c:pt idx="258">
                  <c:v>236775</c:v>
                </c:pt>
                <c:pt idx="259">
                  <c:v>19235847</c:v>
                </c:pt>
                <c:pt idx="260">
                  <c:v>20158347</c:v>
                </c:pt>
                <c:pt idx="261">
                  <c:v>208075</c:v>
                </c:pt>
                <c:pt idx="262">
                  <c:v>22515847</c:v>
                </c:pt>
                <c:pt idx="263">
                  <c:v>23028347</c:v>
                </c:pt>
                <c:pt idx="264">
                  <c:v>24395</c:v>
                </c:pt>
                <c:pt idx="265">
                  <c:v>25761653</c:v>
                </c:pt>
                <c:pt idx="266">
                  <c:v>24975847</c:v>
                </c:pt>
                <c:pt idx="267">
                  <c:v>24873347</c:v>
                </c:pt>
                <c:pt idx="268">
                  <c:v>26000847</c:v>
                </c:pt>
                <c:pt idx="269">
                  <c:v>26615847</c:v>
                </c:pt>
                <c:pt idx="270">
                  <c:v>26103347</c:v>
                </c:pt>
                <c:pt idx="271">
                  <c:v>26035</c:v>
                </c:pt>
                <c:pt idx="272">
                  <c:v>25283347</c:v>
                </c:pt>
                <c:pt idx="273">
                  <c:v>23130847</c:v>
                </c:pt>
                <c:pt idx="274" formatCode="General">
                  <c:v>0</c:v>
                </c:pt>
                <c:pt idx="275">
                  <c:v>14623347</c:v>
                </c:pt>
                <c:pt idx="276">
                  <c:v>15750847</c:v>
                </c:pt>
                <c:pt idx="277">
                  <c:v>19850847</c:v>
                </c:pt>
                <c:pt idx="278">
                  <c:v>22071653</c:v>
                </c:pt>
                <c:pt idx="279">
                  <c:v>20260847</c:v>
                </c:pt>
                <c:pt idx="280">
                  <c:v>20944153</c:v>
                </c:pt>
                <c:pt idx="281">
                  <c:v>21388347</c:v>
                </c:pt>
                <c:pt idx="282">
                  <c:v>22174153</c:v>
                </c:pt>
                <c:pt idx="283">
                  <c:v>23404153</c:v>
                </c:pt>
                <c:pt idx="284">
                  <c:v>23233347</c:v>
                </c:pt>
                <c:pt idx="285">
                  <c:v>22276653</c:v>
                </c:pt>
                <c:pt idx="286">
                  <c:v>24155847</c:v>
                </c:pt>
                <c:pt idx="287">
                  <c:v>22584153</c:v>
                </c:pt>
                <c:pt idx="288">
                  <c:v>20773347</c:v>
                </c:pt>
                <c:pt idx="289">
                  <c:v>20978347</c:v>
                </c:pt>
                <c:pt idx="290">
                  <c:v>21900847</c:v>
                </c:pt>
                <c:pt idx="291">
                  <c:v>218325</c:v>
                </c:pt>
                <c:pt idx="292">
                  <c:v>22211299</c:v>
                </c:pt>
                <c:pt idx="293">
                  <c:v>19509153</c:v>
                </c:pt>
                <c:pt idx="294">
                  <c:v>175275</c:v>
                </c:pt>
                <c:pt idx="295">
                  <c:v>173225</c:v>
                </c:pt>
                <c:pt idx="296">
                  <c:v>17288347</c:v>
                </c:pt>
                <c:pt idx="297">
                  <c:v>18996653</c:v>
                </c:pt>
                <c:pt idx="298">
                  <c:v>19338347</c:v>
                </c:pt>
                <c:pt idx="299">
                  <c:v>19850847</c:v>
                </c:pt>
                <c:pt idx="300" formatCode="General">
                  <c:v>0</c:v>
                </c:pt>
                <c:pt idx="301">
                  <c:v>13564153</c:v>
                </c:pt>
                <c:pt idx="302">
                  <c:v>10420847</c:v>
                </c:pt>
                <c:pt idx="303">
                  <c:v>13085847</c:v>
                </c:pt>
                <c:pt idx="304" formatCode="General">
                  <c:v>0</c:v>
                </c:pt>
                <c:pt idx="305">
                  <c:v>16434153</c:v>
                </c:pt>
                <c:pt idx="306">
                  <c:v>154775</c:v>
                </c:pt>
                <c:pt idx="307">
                  <c:v>16741653</c:v>
                </c:pt>
                <c:pt idx="308">
                  <c:v>16536653</c:v>
                </c:pt>
                <c:pt idx="309">
                  <c:v>13393347</c:v>
                </c:pt>
                <c:pt idx="310">
                  <c:v>14281653</c:v>
                </c:pt>
                <c:pt idx="311">
                  <c:v>16195</c:v>
                </c:pt>
                <c:pt idx="312">
                  <c:v>16741653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>
                  <c:v>13290847</c:v>
                </c:pt>
                <c:pt idx="316">
                  <c:v>14623347</c:v>
                </c:pt>
                <c:pt idx="317">
                  <c:v>18074153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>
                  <c:v>18723347</c:v>
                </c:pt>
                <c:pt idx="321">
                  <c:v>14008347</c:v>
                </c:pt>
                <c:pt idx="322">
                  <c:v>11240847</c:v>
                </c:pt>
                <c:pt idx="323">
                  <c:v>13495847</c:v>
                </c:pt>
                <c:pt idx="324">
                  <c:v>18996653</c:v>
                </c:pt>
                <c:pt idx="325">
                  <c:v>183475</c:v>
                </c:pt>
                <c:pt idx="326">
                  <c:v>17083347</c:v>
                </c:pt>
                <c:pt idx="327">
                  <c:v>18074153</c:v>
                </c:pt>
                <c:pt idx="328">
                  <c:v>15306653</c:v>
                </c:pt>
                <c:pt idx="329">
                  <c:v>15375</c:v>
                </c:pt>
                <c:pt idx="330">
                  <c:v>15409153</c:v>
                </c:pt>
                <c:pt idx="331">
                  <c:v>18825847</c:v>
                </c:pt>
                <c:pt idx="332">
                  <c:v>20642598</c:v>
                </c:pt>
                <c:pt idx="333">
                  <c:v>18791653</c:v>
                </c:pt>
                <c:pt idx="334">
                  <c:v>13325</c:v>
                </c:pt>
                <c:pt idx="335">
                  <c:v>128125</c:v>
                </c:pt>
                <c:pt idx="336">
                  <c:v>12880847</c:v>
                </c:pt>
                <c:pt idx="337">
                  <c:v>12265847</c:v>
                </c:pt>
                <c:pt idx="338">
                  <c:v>13564153</c:v>
                </c:pt>
                <c:pt idx="339">
                  <c:v>15819153</c:v>
                </c:pt>
                <c:pt idx="340">
                  <c:v>189625</c:v>
                </c:pt>
                <c:pt idx="341" formatCode="General">
                  <c:v>0</c:v>
                </c:pt>
                <c:pt idx="342">
                  <c:v>10899153</c:v>
                </c:pt>
                <c:pt idx="343">
                  <c:v>11924153</c:v>
                </c:pt>
                <c:pt idx="344">
                  <c:v>11275</c:v>
                </c:pt>
                <c:pt idx="345">
                  <c:v>9054153</c:v>
                </c:pt>
                <c:pt idx="346">
                  <c:v>9771653</c:v>
                </c:pt>
                <c:pt idx="347">
                  <c:v>115825</c:v>
                </c:pt>
                <c:pt idx="348">
                  <c:v>130175</c:v>
                </c:pt>
                <c:pt idx="349">
                  <c:v>173225</c:v>
                </c:pt>
                <c:pt idx="350">
                  <c:v>15375</c:v>
                </c:pt>
                <c:pt idx="351">
                  <c:v>10591653</c:v>
                </c:pt>
                <c:pt idx="352">
                  <c:v>9771653</c:v>
                </c:pt>
                <c:pt idx="353">
                  <c:v>11343347</c:v>
                </c:pt>
                <c:pt idx="354">
                  <c:v>15819153</c:v>
                </c:pt>
                <c:pt idx="355">
                  <c:v>17561653</c:v>
                </c:pt>
                <c:pt idx="356">
                  <c:v>17356653</c:v>
                </c:pt>
                <c:pt idx="357">
                  <c:v>15306653</c:v>
                </c:pt>
                <c:pt idx="358">
                  <c:v>124025</c:v>
                </c:pt>
                <c:pt idx="359">
                  <c:v>11266103</c:v>
                </c:pt>
                <c:pt idx="360">
                  <c:v>13191299</c:v>
                </c:pt>
                <c:pt idx="361">
                  <c:v>13325</c:v>
                </c:pt>
                <c:pt idx="362">
                  <c:v>1226433</c:v>
                </c:pt>
                <c:pt idx="363">
                  <c:v>10181653</c:v>
                </c:pt>
                <c:pt idx="364">
                  <c:v>12778347</c:v>
                </c:pt>
                <c:pt idx="365" formatCode="General">
                  <c:v>0</c:v>
                </c:pt>
                <c:pt idx="366" formatCode="General">
                  <c:v>0</c:v>
                </c:pt>
                <c:pt idx="367">
                  <c:v>11194763</c:v>
                </c:pt>
                <c:pt idx="368" formatCode="General">
                  <c:v>0</c:v>
                </c:pt>
                <c:pt idx="369">
                  <c:v>44075</c:v>
                </c:pt>
                <c:pt idx="370">
                  <c:v>10899153</c:v>
                </c:pt>
                <c:pt idx="371">
                  <c:v>13700847</c:v>
                </c:pt>
                <c:pt idx="372">
                  <c:v>16126653</c:v>
                </c:pt>
                <c:pt idx="373">
                  <c:v>138375</c:v>
                </c:pt>
                <c:pt idx="374">
                  <c:v>9190847</c:v>
                </c:pt>
                <c:pt idx="375">
                  <c:v>12656536</c:v>
                </c:pt>
                <c:pt idx="376">
                  <c:v>11240847</c:v>
                </c:pt>
                <c:pt idx="377">
                  <c:v>156825</c:v>
                </c:pt>
                <c:pt idx="378">
                  <c:v>11240847</c:v>
                </c:pt>
                <c:pt idx="379" formatCode="General">
                  <c:v>0</c:v>
                </c:pt>
                <c:pt idx="380">
                  <c:v>6833347</c:v>
                </c:pt>
                <c:pt idx="381" formatCode="General">
                  <c:v>0</c:v>
                </c:pt>
                <c:pt idx="382">
                  <c:v>15294763</c:v>
                </c:pt>
                <c:pt idx="383">
                  <c:v>12436653</c:v>
                </c:pt>
                <c:pt idx="384" formatCode="General">
                  <c:v>0</c:v>
                </c:pt>
                <c:pt idx="385">
                  <c:v>89175</c:v>
                </c:pt>
                <c:pt idx="386">
                  <c:v>7106653</c:v>
                </c:pt>
                <c:pt idx="387">
                  <c:v>66625</c:v>
                </c:pt>
                <c:pt idx="388">
                  <c:v>8951653</c:v>
                </c:pt>
                <c:pt idx="389">
                  <c:v>140425</c:v>
                </c:pt>
                <c:pt idx="390">
                  <c:v>12060847</c:v>
                </c:pt>
                <c:pt idx="391">
                  <c:v>14008347</c:v>
                </c:pt>
                <c:pt idx="392">
                  <c:v>17425</c:v>
                </c:pt>
                <c:pt idx="393">
                  <c:v>12949153</c:v>
                </c:pt>
                <c:pt idx="394">
                  <c:v>115825</c:v>
                </c:pt>
                <c:pt idx="395">
                  <c:v>11035847</c:v>
                </c:pt>
                <c:pt idx="396" formatCode="General">
                  <c:v>0</c:v>
                </c:pt>
                <c:pt idx="397">
                  <c:v>19235847</c:v>
                </c:pt>
                <c:pt idx="398">
                  <c:v>16365847</c:v>
                </c:pt>
                <c:pt idx="399">
                  <c:v>12846653</c:v>
                </c:pt>
                <c:pt idx="400">
                  <c:v>10830847</c:v>
                </c:pt>
                <c:pt idx="401">
                  <c:v>10899153</c:v>
                </c:pt>
                <c:pt idx="402">
                  <c:v>11586969</c:v>
                </c:pt>
                <c:pt idx="403">
                  <c:v>14520847</c:v>
                </c:pt>
                <c:pt idx="404">
                  <c:v>10523347</c:v>
                </c:pt>
                <c:pt idx="405">
                  <c:v>10865</c:v>
                </c:pt>
                <c:pt idx="406">
                  <c:v>11514153</c:v>
                </c:pt>
                <c:pt idx="407">
                  <c:v>9190847</c:v>
                </c:pt>
                <c:pt idx="408">
                  <c:v>52275</c:v>
                </c:pt>
                <c:pt idx="409">
                  <c:v>91225</c:v>
                </c:pt>
                <c:pt idx="410">
                  <c:v>13085847</c:v>
                </c:pt>
                <c:pt idx="411">
                  <c:v>14281653</c:v>
                </c:pt>
                <c:pt idx="412">
                  <c:v>12983347</c:v>
                </c:pt>
                <c:pt idx="413">
                  <c:v>14076653</c:v>
                </c:pt>
                <c:pt idx="414">
                  <c:v>14213347</c:v>
                </c:pt>
                <c:pt idx="415" formatCode="General">
                  <c:v>0</c:v>
                </c:pt>
                <c:pt idx="416" formatCode="General">
                  <c:v>0</c:v>
                </c:pt>
                <c:pt idx="417">
                  <c:v>11800866</c:v>
                </c:pt>
                <c:pt idx="418">
                  <c:v>16229153</c:v>
                </c:pt>
                <c:pt idx="419">
                  <c:v>18620847</c:v>
                </c:pt>
                <c:pt idx="420">
                  <c:v>167075</c:v>
                </c:pt>
                <c:pt idx="421">
                  <c:v>11924153</c:v>
                </c:pt>
                <c:pt idx="422">
                  <c:v>11445847</c:v>
                </c:pt>
                <c:pt idx="423">
                  <c:v>15033347</c:v>
                </c:pt>
                <c:pt idx="424">
                  <c:v>14725847</c:v>
                </c:pt>
                <c:pt idx="425">
                  <c:v>19919153</c:v>
                </c:pt>
                <c:pt idx="426">
                  <c:v>14486653</c:v>
                </c:pt>
                <c:pt idx="427">
                  <c:v>16980847</c:v>
                </c:pt>
                <c:pt idx="428">
                  <c:v>13359153</c:v>
                </c:pt>
                <c:pt idx="429">
                  <c:v>9976653</c:v>
                </c:pt>
                <c:pt idx="430">
                  <c:v>10591653</c:v>
                </c:pt>
                <c:pt idx="431">
                  <c:v>16570847</c:v>
                </c:pt>
                <c:pt idx="432">
                  <c:v>216275</c:v>
                </c:pt>
                <c:pt idx="433">
                  <c:v>16844153</c:v>
                </c:pt>
                <c:pt idx="434">
                  <c:v>117875</c:v>
                </c:pt>
                <c:pt idx="435">
                  <c:v>14831299</c:v>
                </c:pt>
                <c:pt idx="436">
                  <c:v>19133347</c:v>
                </c:pt>
                <c:pt idx="437">
                  <c:v>23165</c:v>
                </c:pt>
                <c:pt idx="438">
                  <c:v>234725</c:v>
                </c:pt>
                <c:pt idx="439">
                  <c:v>228575</c:v>
                </c:pt>
                <c:pt idx="440">
                  <c:v>17869153</c:v>
                </c:pt>
                <c:pt idx="441">
                  <c:v>21080847</c:v>
                </c:pt>
                <c:pt idx="442">
                  <c:v>193725</c:v>
                </c:pt>
                <c:pt idx="443">
                  <c:v>22345</c:v>
                </c:pt>
                <c:pt idx="444">
                  <c:v>22994153</c:v>
                </c:pt>
                <c:pt idx="445">
                  <c:v>21798347</c:v>
                </c:pt>
                <c:pt idx="446">
                  <c:v>22720847</c:v>
                </c:pt>
                <c:pt idx="447">
                  <c:v>24668347</c:v>
                </c:pt>
                <c:pt idx="448">
                  <c:v>206025</c:v>
                </c:pt>
                <c:pt idx="449">
                  <c:v>179375</c:v>
                </c:pt>
                <c:pt idx="450">
                  <c:v>18279153</c:v>
                </c:pt>
                <c:pt idx="451">
                  <c:v>13256653</c:v>
                </c:pt>
                <c:pt idx="452">
                  <c:v>19850847</c:v>
                </c:pt>
                <c:pt idx="453">
                  <c:v>20260847</c:v>
                </c:pt>
                <c:pt idx="454" formatCode="General">
                  <c:v>0</c:v>
                </c:pt>
                <c:pt idx="455">
                  <c:v>17390847</c:v>
                </c:pt>
                <c:pt idx="456">
                  <c:v>17459153</c:v>
                </c:pt>
                <c:pt idx="457">
                  <c:v>17790433</c:v>
                </c:pt>
                <c:pt idx="458">
                  <c:v>19133347</c:v>
                </c:pt>
                <c:pt idx="459">
                  <c:v>22208347</c:v>
                </c:pt>
                <c:pt idx="460">
                  <c:v>17835</c:v>
                </c:pt>
                <c:pt idx="461">
                  <c:v>16536653</c:v>
                </c:pt>
                <c:pt idx="462">
                  <c:v>179375</c:v>
                </c:pt>
                <c:pt idx="463" formatCode="General">
                  <c:v>0</c:v>
                </c:pt>
                <c:pt idx="464">
                  <c:v>20055847</c:v>
                </c:pt>
                <c:pt idx="465">
                  <c:v>18313347</c:v>
                </c:pt>
                <c:pt idx="466">
                  <c:v>14296536</c:v>
                </c:pt>
                <c:pt idx="467">
                  <c:v>162975</c:v>
                </c:pt>
                <c:pt idx="468">
                  <c:v>181425</c:v>
                </c:pt>
                <c:pt idx="469">
                  <c:v>20295</c:v>
                </c:pt>
                <c:pt idx="470">
                  <c:v>24873347</c:v>
                </c:pt>
                <c:pt idx="471">
                  <c:v>27230847</c:v>
                </c:pt>
                <c:pt idx="472">
                  <c:v>24941653</c:v>
                </c:pt>
                <c:pt idx="473">
                  <c:v>18996653</c:v>
                </c:pt>
                <c:pt idx="474">
                  <c:v>20431653</c:v>
                </c:pt>
                <c:pt idx="475">
                  <c:v>21593347</c:v>
                </c:pt>
                <c:pt idx="476" formatCode="General">
                  <c:v>0</c:v>
                </c:pt>
                <c:pt idx="477">
                  <c:v>16263347</c:v>
                </c:pt>
                <c:pt idx="478">
                  <c:v>13188347</c:v>
                </c:pt>
                <c:pt idx="479">
                  <c:v>16946653</c:v>
                </c:pt>
                <c:pt idx="480">
                  <c:v>19543347</c:v>
                </c:pt>
                <c:pt idx="481">
                  <c:v>20431653</c:v>
                </c:pt>
                <c:pt idx="482">
                  <c:v>187575</c:v>
                </c:pt>
                <c:pt idx="483">
                  <c:v>15443347</c:v>
                </c:pt>
                <c:pt idx="484">
                  <c:v>18791653</c:v>
                </c:pt>
                <c:pt idx="485">
                  <c:v>19030847</c:v>
                </c:pt>
                <c:pt idx="486">
                  <c:v>25146653</c:v>
                </c:pt>
                <c:pt idx="487">
                  <c:v>23130847</c:v>
                </c:pt>
                <c:pt idx="488" formatCode="General">
                  <c:v>0</c:v>
                </c:pt>
                <c:pt idx="489">
                  <c:v>257275</c:v>
                </c:pt>
                <c:pt idx="490">
                  <c:v>25488347</c:v>
                </c:pt>
                <c:pt idx="491">
                  <c:v>230625</c:v>
                </c:pt>
                <c:pt idx="492">
                  <c:v>220375</c:v>
                </c:pt>
                <c:pt idx="493">
                  <c:v>23848347</c:v>
                </c:pt>
                <c:pt idx="494">
                  <c:v>23575</c:v>
                </c:pt>
                <c:pt idx="495">
                  <c:v>20739153</c:v>
                </c:pt>
                <c:pt idx="496">
                  <c:v>21866653</c:v>
                </c:pt>
                <c:pt idx="497">
                  <c:v>23130847</c:v>
                </c:pt>
                <c:pt idx="498">
                  <c:v>251125</c:v>
                </c:pt>
                <c:pt idx="499">
                  <c:v>23506653</c:v>
                </c:pt>
                <c:pt idx="500">
                  <c:v>25078347</c:v>
                </c:pt>
                <c:pt idx="501">
                  <c:v>26103347</c:v>
                </c:pt>
                <c:pt idx="502">
                  <c:v>24326653</c:v>
                </c:pt>
                <c:pt idx="503">
                  <c:v>23130847</c:v>
                </c:pt>
                <c:pt idx="504" formatCode="General">
                  <c:v>0</c:v>
                </c:pt>
                <c:pt idx="505">
                  <c:v>25454153</c:v>
                </c:pt>
                <c:pt idx="506">
                  <c:v>24531653</c:v>
                </c:pt>
                <c:pt idx="507">
                  <c:v>25215</c:v>
                </c:pt>
                <c:pt idx="508">
                  <c:v>25488347</c:v>
                </c:pt>
                <c:pt idx="509">
                  <c:v>26855</c:v>
                </c:pt>
                <c:pt idx="510" formatCode="General">
                  <c:v>0</c:v>
                </c:pt>
                <c:pt idx="511">
                  <c:v>283925</c:v>
                </c:pt>
                <c:pt idx="512" formatCode="General">
                  <c:v>0</c:v>
                </c:pt>
                <c:pt idx="513">
                  <c:v>292125</c:v>
                </c:pt>
                <c:pt idx="514">
                  <c:v>296225</c:v>
                </c:pt>
                <c:pt idx="515">
                  <c:v>26923347</c:v>
                </c:pt>
                <c:pt idx="516" formatCode="General">
                  <c:v>0</c:v>
                </c:pt>
                <c:pt idx="517">
                  <c:v>26820847</c:v>
                </c:pt>
                <c:pt idx="518">
                  <c:v>23916653</c:v>
                </c:pt>
                <c:pt idx="519">
                  <c:v>247025</c:v>
                </c:pt>
                <c:pt idx="520">
                  <c:v>244975</c:v>
                </c:pt>
                <c:pt idx="521">
                  <c:v>22174153</c:v>
                </c:pt>
                <c:pt idx="522">
                  <c:v>22720847</c:v>
                </c:pt>
                <c:pt idx="523">
                  <c:v>247025</c:v>
                </c:pt>
                <c:pt idx="524">
                  <c:v>26615847</c:v>
                </c:pt>
                <c:pt idx="525">
                  <c:v>29144153</c:v>
                </c:pt>
                <c:pt idx="526">
                  <c:v>29793347</c:v>
                </c:pt>
                <c:pt idx="527">
                  <c:v>29554153</c:v>
                </c:pt>
                <c:pt idx="528">
                  <c:v>26786653</c:v>
                </c:pt>
                <c:pt idx="529">
                  <c:v>26889153</c:v>
                </c:pt>
                <c:pt idx="530">
                  <c:v>26581653</c:v>
                </c:pt>
                <c:pt idx="531">
                  <c:v>26205847</c:v>
                </c:pt>
                <c:pt idx="532">
                  <c:v>25898347</c:v>
                </c:pt>
                <c:pt idx="533">
                  <c:v>242925</c:v>
                </c:pt>
                <c:pt idx="534">
                  <c:v>23301653</c:v>
                </c:pt>
                <c:pt idx="535">
                  <c:v>28221653</c:v>
                </c:pt>
                <c:pt idx="536">
                  <c:v>320825</c:v>
                </c:pt>
                <c:pt idx="537">
                  <c:v>33039153</c:v>
                </c:pt>
                <c:pt idx="538">
                  <c:v>318775</c:v>
                </c:pt>
                <c:pt idx="539">
                  <c:v>29998347</c:v>
                </c:pt>
                <c:pt idx="540">
                  <c:v>30476653</c:v>
                </c:pt>
                <c:pt idx="541">
                  <c:v>29349153</c:v>
                </c:pt>
                <c:pt idx="542">
                  <c:v>25864153</c:v>
                </c:pt>
                <c:pt idx="543">
                  <c:v>285975</c:v>
                </c:pt>
                <c:pt idx="544">
                  <c:v>30715847</c:v>
                </c:pt>
                <c:pt idx="545">
                  <c:v>34200847</c:v>
                </c:pt>
                <c:pt idx="546">
                  <c:v>31365</c:v>
                </c:pt>
                <c:pt idx="547">
                  <c:v>33449153</c:v>
                </c:pt>
                <c:pt idx="548">
                  <c:v>32048347</c:v>
                </c:pt>
                <c:pt idx="549">
                  <c:v>32014153</c:v>
                </c:pt>
                <c:pt idx="550">
                  <c:v>32355847</c:v>
                </c:pt>
                <c:pt idx="551">
                  <c:v>339275</c:v>
                </c:pt>
                <c:pt idx="552">
                  <c:v>33961653</c:v>
                </c:pt>
                <c:pt idx="553">
                  <c:v>35328347</c:v>
                </c:pt>
                <c:pt idx="554">
                  <c:v>337225</c:v>
                </c:pt>
                <c:pt idx="555">
                  <c:v>29144153</c:v>
                </c:pt>
                <c:pt idx="556">
                  <c:v>29554153</c:v>
                </c:pt>
                <c:pt idx="557">
                  <c:v>29383347</c:v>
                </c:pt>
                <c:pt idx="558">
                  <c:v>29349153</c:v>
                </c:pt>
                <c:pt idx="559">
                  <c:v>29998347</c:v>
                </c:pt>
                <c:pt idx="560">
                  <c:v>28836653</c:v>
                </c:pt>
                <c:pt idx="561">
                  <c:v>30579153</c:v>
                </c:pt>
                <c:pt idx="562">
                  <c:v>31296653</c:v>
                </c:pt>
                <c:pt idx="563">
                  <c:v>33551653</c:v>
                </c:pt>
                <c:pt idx="564">
                  <c:v>32526653</c:v>
                </c:pt>
                <c:pt idx="565" formatCode="General">
                  <c:v>0</c:v>
                </c:pt>
                <c:pt idx="566">
                  <c:v>27299153</c:v>
                </c:pt>
                <c:pt idx="567">
                  <c:v>24429153</c:v>
                </c:pt>
                <c:pt idx="568">
                  <c:v>273675</c:v>
                </c:pt>
                <c:pt idx="569">
                  <c:v>30408347</c:v>
                </c:pt>
                <c:pt idx="570">
                  <c:v>30784153</c:v>
                </c:pt>
                <c:pt idx="571">
                  <c:v>29690847</c:v>
                </c:pt>
                <c:pt idx="572">
                  <c:v>31843347</c:v>
                </c:pt>
                <c:pt idx="573">
                  <c:v>32048347</c:v>
                </c:pt>
                <c:pt idx="574">
                  <c:v>30989153</c:v>
                </c:pt>
                <c:pt idx="575">
                  <c:v>29588347</c:v>
                </c:pt>
                <c:pt idx="576">
                  <c:v>29964153</c:v>
                </c:pt>
                <c:pt idx="577">
                  <c:v>29246653</c:v>
                </c:pt>
                <c:pt idx="578">
                  <c:v>294175</c:v>
                </c:pt>
                <c:pt idx="579">
                  <c:v>308525</c:v>
                </c:pt>
                <c:pt idx="580">
                  <c:v>31399153</c:v>
                </c:pt>
                <c:pt idx="581">
                  <c:v>32526653</c:v>
                </c:pt>
                <c:pt idx="582">
                  <c:v>31535847</c:v>
                </c:pt>
                <c:pt idx="583">
                  <c:v>308525</c:v>
                </c:pt>
                <c:pt idx="584">
                  <c:v>30169153</c:v>
                </c:pt>
                <c:pt idx="585" formatCode="General">
                  <c:v>0</c:v>
                </c:pt>
                <c:pt idx="586">
                  <c:v>30989153</c:v>
                </c:pt>
                <c:pt idx="587">
                  <c:v>29349153</c:v>
                </c:pt>
                <c:pt idx="588">
                  <c:v>283925</c:v>
                </c:pt>
                <c:pt idx="589">
                  <c:v>28734153</c:v>
                </c:pt>
                <c:pt idx="590">
                  <c:v>29554153</c:v>
                </c:pt>
                <c:pt idx="591">
                  <c:v>29793347</c:v>
                </c:pt>
                <c:pt idx="592">
                  <c:v>28973347</c:v>
                </c:pt>
                <c:pt idx="593">
                  <c:v>29485847</c:v>
                </c:pt>
                <c:pt idx="594">
                  <c:v>29656653</c:v>
                </c:pt>
                <c:pt idx="595">
                  <c:v>27811653</c:v>
                </c:pt>
                <c:pt idx="596">
                  <c:v>26069153</c:v>
                </c:pt>
                <c:pt idx="597">
                  <c:v>26069153</c:v>
                </c:pt>
                <c:pt idx="598">
                  <c:v>26615847</c:v>
                </c:pt>
                <c:pt idx="599">
                  <c:v>273675</c:v>
                </c:pt>
                <c:pt idx="600">
                  <c:v>28529153</c:v>
                </c:pt>
                <c:pt idx="601">
                  <c:v>288025</c:v>
                </c:pt>
                <c:pt idx="602">
                  <c:v>27128347</c:v>
                </c:pt>
                <c:pt idx="603">
                  <c:v>26786653</c:v>
                </c:pt>
                <c:pt idx="604">
                  <c:v>28836653</c:v>
                </c:pt>
                <c:pt idx="605">
                  <c:v>29861653</c:v>
                </c:pt>
                <c:pt idx="606">
                  <c:v>28085</c:v>
                </c:pt>
                <c:pt idx="607">
                  <c:v>28973347</c:v>
                </c:pt>
                <c:pt idx="608">
                  <c:v>31330847</c:v>
                </c:pt>
                <c:pt idx="609">
                  <c:v>30886653</c:v>
                </c:pt>
                <c:pt idx="610">
                  <c:v>28563347</c:v>
                </c:pt>
                <c:pt idx="611">
                  <c:v>290075</c:v>
                </c:pt>
                <c:pt idx="612">
                  <c:v>29759153</c:v>
                </c:pt>
                <c:pt idx="613">
                  <c:v>30203347</c:v>
                </c:pt>
                <c:pt idx="614">
                  <c:v>28563347</c:v>
                </c:pt>
                <c:pt idx="615">
                  <c:v>28836653</c:v>
                </c:pt>
                <c:pt idx="616">
                  <c:v>27025847</c:v>
                </c:pt>
                <c:pt idx="617" formatCode="General">
                  <c:v>0</c:v>
                </c:pt>
                <c:pt idx="618">
                  <c:v>23916653</c:v>
                </c:pt>
                <c:pt idx="619">
                  <c:v>236775</c:v>
                </c:pt>
                <c:pt idx="620">
                  <c:v>24565847</c:v>
                </c:pt>
                <c:pt idx="621">
                  <c:v>251125</c:v>
                </c:pt>
                <c:pt idx="622">
                  <c:v>25966653</c:v>
                </c:pt>
                <c:pt idx="623">
                  <c:v>24941653</c:v>
                </c:pt>
                <c:pt idx="624" formatCode="General">
                  <c:v>0</c:v>
                </c:pt>
                <c:pt idx="625">
                  <c:v>23814153</c:v>
                </c:pt>
                <c:pt idx="626">
                  <c:v>25556653</c:v>
                </c:pt>
                <c:pt idx="627">
                  <c:v>226525</c:v>
                </c:pt>
                <c:pt idx="628">
                  <c:v>22413347</c:v>
                </c:pt>
                <c:pt idx="629">
                  <c:v>24565847</c:v>
                </c:pt>
                <c:pt idx="630" formatCode="General">
                  <c:v>0</c:v>
                </c:pt>
                <c:pt idx="631">
                  <c:v>21695847</c:v>
                </c:pt>
                <c:pt idx="632">
                  <c:v>21080847</c:v>
                </c:pt>
                <c:pt idx="633" formatCode="General">
                  <c:v>0</c:v>
                </c:pt>
                <c:pt idx="634">
                  <c:v>26035</c:v>
                </c:pt>
                <c:pt idx="635" formatCode="General">
                  <c:v>0</c:v>
                </c:pt>
                <c:pt idx="636">
                  <c:v>25385847</c:v>
                </c:pt>
                <c:pt idx="637">
                  <c:v>222425</c:v>
                </c:pt>
                <c:pt idx="638">
                  <c:v>21593347</c:v>
                </c:pt>
                <c:pt idx="639">
                  <c:v>21354153</c:v>
                </c:pt>
                <c:pt idx="640">
                  <c:v>24224153</c:v>
                </c:pt>
                <c:pt idx="641">
                  <c:v>269575</c:v>
                </c:pt>
                <c:pt idx="642">
                  <c:v>269575</c:v>
                </c:pt>
                <c:pt idx="643">
                  <c:v>25215</c:v>
                </c:pt>
                <c:pt idx="644">
                  <c:v>22720847</c:v>
                </c:pt>
                <c:pt idx="645">
                  <c:v>17049153</c:v>
                </c:pt>
                <c:pt idx="646">
                  <c:v>15716653</c:v>
                </c:pt>
                <c:pt idx="647">
                  <c:v>18313347</c:v>
                </c:pt>
                <c:pt idx="648">
                  <c:v>21080847</c:v>
                </c:pt>
                <c:pt idx="649">
                  <c:v>17835</c:v>
                </c:pt>
                <c:pt idx="650">
                  <c:v>179375</c:v>
                </c:pt>
                <c:pt idx="651">
                  <c:v>16126653</c:v>
                </c:pt>
                <c:pt idx="652">
                  <c:v>21388347</c:v>
                </c:pt>
                <c:pt idx="653">
                  <c:v>23028347</c:v>
                </c:pt>
                <c:pt idx="654">
                  <c:v>19201653</c:v>
                </c:pt>
                <c:pt idx="655">
                  <c:v>18689153</c:v>
                </c:pt>
                <c:pt idx="656">
                  <c:v>214225</c:v>
                </c:pt>
                <c:pt idx="657">
                  <c:v>23096653</c:v>
                </c:pt>
                <c:pt idx="658">
                  <c:v>19850847</c:v>
                </c:pt>
                <c:pt idx="659">
                  <c:v>19030847</c:v>
                </c:pt>
                <c:pt idx="660">
                  <c:v>199875</c:v>
                </c:pt>
                <c:pt idx="661">
                  <c:v>22310847</c:v>
                </c:pt>
                <c:pt idx="662">
                  <c:v>240875</c:v>
                </c:pt>
                <c:pt idx="663" formatCode="General">
                  <c:v>0</c:v>
                </c:pt>
                <c:pt idx="664">
                  <c:v>22379153</c:v>
                </c:pt>
                <c:pt idx="665" formatCode="General">
                  <c:v>0</c:v>
                </c:pt>
                <c:pt idx="666">
                  <c:v>195775</c:v>
                </c:pt>
                <c:pt idx="667" formatCode="General">
                  <c:v>0</c:v>
                </c:pt>
                <c:pt idx="668">
                  <c:v>13045462</c:v>
                </c:pt>
                <c:pt idx="669">
                  <c:v>146575</c:v>
                </c:pt>
                <c:pt idx="670">
                  <c:v>14999153</c:v>
                </c:pt>
                <c:pt idx="671">
                  <c:v>14555</c:v>
                </c:pt>
                <c:pt idx="672">
                  <c:v>14076653</c:v>
                </c:pt>
                <c:pt idx="673">
                  <c:v>13359153</c:v>
                </c:pt>
                <c:pt idx="674">
                  <c:v>13085847</c:v>
                </c:pt>
                <c:pt idx="675">
                  <c:v>11514153</c:v>
                </c:pt>
                <c:pt idx="676">
                  <c:v>12129153</c:v>
                </c:pt>
                <c:pt idx="677">
                  <c:v>14439134</c:v>
                </c:pt>
                <c:pt idx="678">
                  <c:v>14828347</c:v>
                </c:pt>
                <c:pt idx="679">
                  <c:v>15955847</c:v>
                </c:pt>
                <c:pt idx="680">
                  <c:v>17254153</c:v>
                </c:pt>
                <c:pt idx="681">
                  <c:v>19885</c:v>
                </c:pt>
                <c:pt idx="682">
                  <c:v>14076653</c:v>
                </c:pt>
                <c:pt idx="683">
                  <c:v>11855847</c:v>
                </c:pt>
                <c:pt idx="684">
                  <c:v>13188347</c:v>
                </c:pt>
                <c:pt idx="685">
                  <c:v>14145</c:v>
                </c:pt>
                <c:pt idx="686">
                  <c:v>13325</c:v>
                </c:pt>
                <c:pt idx="687">
                  <c:v>140425</c:v>
                </c:pt>
                <c:pt idx="688">
                  <c:v>15614153</c:v>
                </c:pt>
                <c:pt idx="689">
                  <c:v>15340847</c:v>
                </c:pt>
                <c:pt idx="690">
                  <c:v>14486653</c:v>
                </c:pt>
                <c:pt idx="691" formatCode="General">
                  <c:v>0</c:v>
                </c:pt>
                <c:pt idx="692">
                  <c:v>15101653</c:v>
                </c:pt>
                <c:pt idx="693">
                  <c:v>11411653</c:v>
                </c:pt>
                <c:pt idx="694">
                  <c:v>10079153</c:v>
                </c:pt>
                <c:pt idx="695">
                  <c:v>12846653</c:v>
                </c:pt>
                <c:pt idx="696">
                  <c:v>11958347</c:v>
                </c:pt>
                <c:pt idx="697">
                  <c:v>12163347</c:v>
                </c:pt>
                <c:pt idx="698">
                  <c:v>1151567</c:v>
                </c:pt>
                <c:pt idx="699">
                  <c:v>12231653</c:v>
                </c:pt>
                <c:pt idx="700">
                  <c:v>12231653</c:v>
                </c:pt>
                <c:pt idx="701">
                  <c:v>142475</c:v>
                </c:pt>
                <c:pt idx="702">
                  <c:v>185525</c:v>
                </c:pt>
                <c:pt idx="703">
                  <c:v>19509153</c:v>
                </c:pt>
                <c:pt idx="704">
                  <c:v>17971653</c:v>
                </c:pt>
                <c:pt idx="705">
                  <c:v>10489153</c:v>
                </c:pt>
                <c:pt idx="706">
                  <c:v>13154153</c:v>
                </c:pt>
                <c:pt idx="707">
                  <c:v>15648347</c:v>
                </c:pt>
                <c:pt idx="708">
                  <c:v>15750847</c:v>
                </c:pt>
                <c:pt idx="709">
                  <c:v>17869153</c:v>
                </c:pt>
                <c:pt idx="710">
                  <c:v>14486653</c:v>
                </c:pt>
                <c:pt idx="711">
                  <c:v>121975</c:v>
                </c:pt>
                <c:pt idx="712">
                  <c:v>12129153</c:v>
                </c:pt>
                <c:pt idx="713">
                  <c:v>11548347</c:v>
                </c:pt>
                <c:pt idx="714">
                  <c:v>13290847</c:v>
                </c:pt>
                <c:pt idx="715">
                  <c:v>148625</c:v>
                </c:pt>
                <c:pt idx="716">
                  <c:v>16126653</c:v>
                </c:pt>
                <c:pt idx="717">
                  <c:v>16844153</c:v>
                </c:pt>
                <c:pt idx="718">
                  <c:v>136325</c:v>
                </c:pt>
                <c:pt idx="719" formatCode="General">
                  <c:v>0</c:v>
                </c:pt>
                <c:pt idx="720">
                  <c:v>13393347</c:v>
                </c:pt>
                <c:pt idx="721">
                  <c:v>10899153</c:v>
                </c:pt>
                <c:pt idx="722">
                  <c:v>10079153</c:v>
                </c:pt>
                <c:pt idx="723">
                  <c:v>9483464</c:v>
                </c:pt>
                <c:pt idx="724">
                  <c:v>11943464</c:v>
                </c:pt>
                <c:pt idx="725">
                  <c:v>9976653</c:v>
                </c:pt>
                <c:pt idx="726">
                  <c:v>10420847</c:v>
                </c:pt>
                <c:pt idx="727">
                  <c:v>10386653</c:v>
                </c:pt>
                <c:pt idx="728">
                  <c:v>10386653</c:v>
                </c:pt>
                <c:pt idx="729">
                  <c:v>10489153</c:v>
                </c:pt>
                <c:pt idx="730">
                  <c:v>8849153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BC-45B6-9B08-6A515AB55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28752"/>
        <c:axId val="212029712"/>
      </c:scatterChart>
      <c:valAx>
        <c:axId val="21202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2029712"/>
        <c:crosses val="autoZero"/>
        <c:crossBetween val="midCat"/>
      </c:valAx>
      <c:valAx>
        <c:axId val="21202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202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alpha val="98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2016</xdr:colOff>
      <xdr:row>10</xdr:row>
      <xdr:rowOff>180622</xdr:rowOff>
    </xdr:from>
    <xdr:to>
      <xdr:col>10</xdr:col>
      <xdr:colOff>340683</xdr:colOff>
      <xdr:row>26</xdr:row>
      <xdr:rowOff>20965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6455EA1-ADD0-251E-38EB-E63FF07DE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3070728</xdr:colOff>
      <xdr:row>5</xdr:row>
      <xdr:rowOff>10079</xdr:rowOff>
    </xdr:from>
    <xdr:to>
      <xdr:col>6</xdr:col>
      <xdr:colOff>493889</xdr:colOff>
      <xdr:row>27</xdr:row>
      <xdr:rowOff>151191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8B6DD588-B061-7975-EDC9-05153060D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stamo Estudiantes" refreshedDate="46244.501720717592" createdVersion="8" refreshedVersion="8" minRefreshableVersion="3" recordCount="730" xr:uid="{69FE3F5B-5944-46B2-8910-B36AB855CF81}">
  <cacheSource type="worksheet">
    <worksheetSource ref="A1:J731" sheet="Datos"/>
  </cacheSource>
  <cacheFields count="10">
    <cacheField name="instant" numFmtId="0">
      <sharedItems containsSemiMixedTypes="0" containsString="0" containsNumber="1" containsInteger="1" minValue="1" maxValue="730"/>
    </cacheField>
    <cacheField name="dteday" numFmtId="14">
      <sharedItems containsSemiMixedTypes="0" containsNonDate="0" containsDate="1" containsString="0" minDate="2018-01-01T00:00:00" maxDate="2020-01-01T00:00:00"/>
    </cacheField>
    <cacheField name="season" numFmtId="0">
      <sharedItems containsSemiMixedTypes="0" containsString="0" containsNumber="1" containsInteger="1" minValue="1" maxValue="4"/>
    </cacheField>
    <cacheField name="yr" numFmtId="0">
      <sharedItems containsSemiMixedTypes="0" containsString="0" containsNumber="1" containsInteger="1" minValue="0" maxValue="1" count="2">
        <n v="0"/>
        <n v="1"/>
      </sharedItems>
    </cacheField>
    <cacheField name="m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holiday" numFmtId="0">
      <sharedItems containsSemiMixedTypes="0" containsString="0" containsNumber="1" containsInteger="1" minValue="0" maxValue="1"/>
    </cacheField>
    <cacheField name="weekday" numFmtId="0">
      <sharedItems containsSemiMixedTypes="0" containsString="0" containsNumber="1" containsInteger="1" minValue="0" maxValue="6"/>
    </cacheField>
    <cacheField name="workingday" numFmtId="0">
      <sharedItems containsSemiMixedTypes="0" containsString="0" containsNumber="1" containsInteger="1" minValue="0" maxValue="1"/>
    </cacheField>
    <cacheField name="weathersit" numFmtId="0">
      <sharedItems containsSemiMixedTypes="0" containsString="0" containsNumber="1" containsInteger="1" minValue="1" maxValue="3"/>
    </cacheField>
    <cacheField name="temp" numFmtId="0">
      <sharedItems containsMixedTypes="1" containsNumber="1" containsInteger="1" minValue="6765" maxValue="39930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0">
  <r>
    <n v="1"/>
    <d v="2018-01-01T00:00:00"/>
    <n v="1"/>
    <x v="0"/>
    <x v="0"/>
    <n v="0"/>
    <n v="6"/>
    <n v="0"/>
    <n v="2"/>
    <n v="14110847"/>
  </r>
  <r>
    <n v="2"/>
    <d v="2018-01-02T00:00:00"/>
    <n v="1"/>
    <x v="0"/>
    <x v="0"/>
    <n v="0"/>
    <n v="0"/>
    <n v="0"/>
    <n v="2"/>
    <n v="14902598"/>
  </r>
  <r>
    <n v="3"/>
    <d v="2018-01-03T00:00:00"/>
    <n v="1"/>
    <x v="0"/>
    <x v="0"/>
    <n v="0"/>
    <n v="1"/>
    <n v="1"/>
    <n v="1"/>
    <n v="8050924"/>
  </r>
  <r>
    <n v="4"/>
    <d v="2018-01-04T00:00:00"/>
    <n v="1"/>
    <x v="0"/>
    <x v="0"/>
    <n v="0"/>
    <n v="2"/>
    <n v="1"/>
    <n v="1"/>
    <s v="8.2"/>
  </r>
  <r>
    <n v="5"/>
    <d v="2018-01-05T00:00:00"/>
    <n v="1"/>
    <x v="0"/>
    <x v="0"/>
    <n v="0"/>
    <n v="3"/>
    <n v="1"/>
    <n v="1"/>
    <n v="9305237"/>
  </r>
  <r>
    <n v="6"/>
    <d v="2018-01-06T00:00:00"/>
    <n v="1"/>
    <x v="0"/>
    <x v="0"/>
    <n v="0"/>
    <n v="4"/>
    <n v="1"/>
    <n v="1"/>
    <n v="8378268"/>
  </r>
  <r>
    <n v="7"/>
    <d v="2018-01-07T00:00:00"/>
    <n v="1"/>
    <x v="0"/>
    <x v="0"/>
    <n v="0"/>
    <n v="5"/>
    <n v="1"/>
    <n v="2"/>
    <n v="8057402"/>
  </r>
  <r>
    <n v="8"/>
    <d v="2018-01-08T00:00:00"/>
    <n v="1"/>
    <x v="0"/>
    <x v="0"/>
    <n v="0"/>
    <n v="6"/>
    <n v="0"/>
    <n v="2"/>
    <n v="6765"/>
  </r>
  <r>
    <n v="9"/>
    <d v="2018-01-09T00:00:00"/>
    <n v="1"/>
    <x v="0"/>
    <x v="0"/>
    <n v="0"/>
    <n v="0"/>
    <n v="0"/>
    <n v="1"/>
    <n v="5671653"/>
  </r>
  <r>
    <n v="10"/>
    <d v="2018-01-10T00:00:00"/>
    <n v="1"/>
    <x v="0"/>
    <x v="0"/>
    <n v="0"/>
    <n v="1"/>
    <n v="1"/>
    <n v="1"/>
    <n v="6184153"/>
  </r>
  <r>
    <n v="11"/>
    <d v="2018-01-11T00:00:00"/>
    <n v="1"/>
    <x v="0"/>
    <x v="0"/>
    <n v="0"/>
    <n v="2"/>
    <n v="1"/>
    <n v="2"/>
    <n v="6932731"/>
  </r>
  <r>
    <n v="12"/>
    <d v="2018-01-12T00:00:00"/>
    <n v="1"/>
    <x v="0"/>
    <x v="0"/>
    <n v="0"/>
    <n v="3"/>
    <n v="1"/>
    <n v="1"/>
    <n v="7081807"/>
  </r>
  <r>
    <n v="13"/>
    <d v="2018-01-13T00:00:00"/>
    <n v="1"/>
    <x v="0"/>
    <x v="0"/>
    <n v="0"/>
    <n v="4"/>
    <n v="1"/>
    <n v="1"/>
    <n v="6765"/>
  </r>
  <r>
    <n v="14"/>
    <d v="2018-01-14T00:00:00"/>
    <n v="1"/>
    <x v="0"/>
    <x v="0"/>
    <n v="0"/>
    <n v="5"/>
    <n v="1"/>
    <n v="1"/>
    <n v="659567"/>
  </r>
  <r>
    <n v="15"/>
    <d v="2018-01-15T00:00:00"/>
    <n v="1"/>
    <x v="0"/>
    <x v="0"/>
    <n v="0"/>
    <n v="6"/>
    <n v="0"/>
    <n v="2"/>
    <n v="9566653"/>
  </r>
  <r>
    <n v="16"/>
    <d v="2018-01-16T00:00:00"/>
    <n v="1"/>
    <x v="0"/>
    <x v="0"/>
    <n v="0"/>
    <n v="0"/>
    <n v="0"/>
    <n v="1"/>
    <n v="9498347"/>
  </r>
  <r>
    <n v="17"/>
    <d v="2018-01-17T00:00:00"/>
    <n v="1"/>
    <x v="0"/>
    <x v="0"/>
    <n v="1"/>
    <n v="1"/>
    <n v="0"/>
    <n v="2"/>
    <n v="7209153"/>
  </r>
  <r>
    <n v="18"/>
    <d v="2018-01-18T00:00:00"/>
    <n v="1"/>
    <x v="0"/>
    <x v="0"/>
    <n v="0"/>
    <n v="2"/>
    <n v="1"/>
    <n v="2"/>
    <n v="8883347"/>
  </r>
  <r>
    <n v="19"/>
    <d v="2018-01-19T00:00:00"/>
    <n v="1"/>
    <x v="0"/>
    <x v="0"/>
    <n v="0"/>
    <n v="3"/>
    <n v="1"/>
    <n v="2"/>
    <n v="11979134"/>
  </r>
  <r>
    <n v="20"/>
    <d v="2018-01-20T00:00:00"/>
    <n v="1"/>
    <x v="0"/>
    <x v="0"/>
    <n v="0"/>
    <n v="4"/>
    <n v="1"/>
    <n v="2"/>
    <n v="10728347"/>
  </r>
  <r>
    <n v="21"/>
    <d v="2018-01-21T00:00:00"/>
    <n v="1"/>
    <x v="0"/>
    <x v="0"/>
    <n v="0"/>
    <n v="5"/>
    <n v="1"/>
    <n v="1"/>
    <n v="72775"/>
  </r>
  <r>
    <n v="22"/>
    <d v="2018-01-22T00:00:00"/>
    <n v="1"/>
    <x v="0"/>
    <x v="0"/>
    <n v="0"/>
    <n v="6"/>
    <n v="0"/>
    <n v="1"/>
    <n v="24243464"/>
  </r>
  <r>
    <n v="23"/>
    <d v="2018-01-23T00:00:00"/>
    <n v="1"/>
    <x v="0"/>
    <x v="0"/>
    <n v="0"/>
    <n v="0"/>
    <n v="0"/>
    <n v="1"/>
    <n v="39573897"/>
  </r>
  <r>
    <n v="24"/>
    <d v="2018-01-24T00:00:00"/>
    <n v="1"/>
    <x v="0"/>
    <x v="0"/>
    <n v="0"/>
    <n v="1"/>
    <n v="1"/>
    <n v="1"/>
    <n v="39930433"/>
  </r>
  <r>
    <n v="25"/>
    <d v="2018-01-25T00:00:00"/>
    <n v="1"/>
    <x v="0"/>
    <x v="0"/>
    <n v="0"/>
    <n v="2"/>
    <n v="1"/>
    <n v="2"/>
    <n v="9162598"/>
  </r>
  <r>
    <n v="26"/>
    <d v="2018-01-26T00:00:00"/>
    <n v="1"/>
    <x v="0"/>
    <x v="0"/>
    <n v="0"/>
    <n v="3"/>
    <n v="1"/>
    <n v="3"/>
    <n v="89175"/>
  </r>
  <r>
    <n v="27"/>
    <d v="2018-01-27T00:00:00"/>
    <n v="1"/>
    <x v="0"/>
    <x v="0"/>
    <n v="0"/>
    <n v="4"/>
    <n v="1"/>
    <n v="1"/>
    <n v="7995"/>
  </r>
  <r>
    <n v="28"/>
    <d v="2018-01-28T00:00:00"/>
    <n v="1"/>
    <x v="0"/>
    <x v="0"/>
    <n v="0"/>
    <n v="5"/>
    <n v="1"/>
    <n v="2"/>
    <n v="8342598"/>
  </r>
  <r>
    <n v="29"/>
    <d v="2018-01-29T00:00:00"/>
    <n v="1"/>
    <x v="0"/>
    <x v="0"/>
    <n v="0"/>
    <n v="6"/>
    <n v="0"/>
    <n v="1"/>
    <n v="8057402"/>
  </r>
  <r>
    <n v="30"/>
    <d v="2018-01-30T00:00:00"/>
    <n v="1"/>
    <x v="0"/>
    <x v="0"/>
    <n v="0"/>
    <n v="0"/>
    <n v="0"/>
    <n v="1"/>
    <n v="8877402"/>
  </r>
  <r>
    <n v="31"/>
    <d v="2018-01-31T00:00:00"/>
    <n v="1"/>
    <x v="0"/>
    <x v="0"/>
    <n v="0"/>
    <n v="1"/>
    <n v="1"/>
    <n v="2"/>
    <n v="7414153"/>
  </r>
  <r>
    <n v="32"/>
    <d v="2018-02-01T00:00:00"/>
    <n v="1"/>
    <x v="0"/>
    <x v="1"/>
    <n v="0"/>
    <n v="2"/>
    <n v="1"/>
    <n v="2"/>
    <n v="7879134"/>
  </r>
  <r>
    <n v="33"/>
    <d v="2018-02-02T00:00:00"/>
    <n v="1"/>
    <x v="0"/>
    <x v="1"/>
    <n v="0"/>
    <n v="3"/>
    <n v="1"/>
    <n v="2"/>
    <s v="10.66"/>
  </r>
  <r>
    <n v="34"/>
    <d v="2018-02-03T00:00:00"/>
    <n v="1"/>
    <x v="0"/>
    <x v="1"/>
    <n v="0"/>
    <n v="4"/>
    <n v="1"/>
    <n v="1"/>
    <n v="7665237"/>
  </r>
  <r>
    <n v="35"/>
    <d v="2018-02-04T00:00:00"/>
    <n v="1"/>
    <x v="0"/>
    <x v="1"/>
    <n v="0"/>
    <n v="5"/>
    <n v="1"/>
    <n v="2"/>
    <n v="8663464"/>
  </r>
  <r>
    <n v="36"/>
    <d v="2018-02-05T00:00:00"/>
    <n v="1"/>
    <x v="0"/>
    <x v="1"/>
    <n v="0"/>
    <n v="6"/>
    <n v="0"/>
    <n v="2"/>
    <n v="9566653"/>
  </r>
  <r>
    <n v="37"/>
    <d v="2018-02-06T00:00:00"/>
    <n v="1"/>
    <x v="0"/>
    <x v="1"/>
    <n v="0"/>
    <n v="0"/>
    <n v="0"/>
    <n v="1"/>
    <n v="11719153"/>
  </r>
  <r>
    <n v="38"/>
    <d v="2018-02-07T00:00:00"/>
    <n v="1"/>
    <x v="0"/>
    <x v="1"/>
    <n v="0"/>
    <n v="1"/>
    <n v="1"/>
    <n v="1"/>
    <n v="11138347"/>
  </r>
  <r>
    <n v="39"/>
    <d v="2018-02-08T00:00:00"/>
    <n v="1"/>
    <x v="0"/>
    <x v="1"/>
    <n v="0"/>
    <n v="2"/>
    <n v="1"/>
    <n v="1"/>
    <n v="9054153"/>
  </r>
  <r>
    <n v="40"/>
    <d v="2018-02-09T00:00:00"/>
    <n v="1"/>
    <x v="0"/>
    <x v="1"/>
    <n v="0"/>
    <n v="3"/>
    <n v="1"/>
    <n v="2"/>
    <n v="5526103"/>
  </r>
  <r>
    <n v="41"/>
    <d v="2018-02-10T00:00:00"/>
    <n v="1"/>
    <x v="0"/>
    <x v="1"/>
    <n v="0"/>
    <n v="4"/>
    <n v="1"/>
    <n v="1"/>
    <n v="5918268"/>
  </r>
  <r>
    <n v="42"/>
    <d v="2018-02-11T00:00:00"/>
    <n v="1"/>
    <x v="0"/>
    <x v="1"/>
    <n v="0"/>
    <n v="5"/>
    <n v="1"/>
    <n v="1"/>
    <n v="7752731"/>
  </r>
  <r>
    <n v="43"/>
    <d v="2018-02-12T00:00:00"/>
    <n v="1"/>
    <x v="0"/>
    <x v="1"/>
    <n v="0"/>
    <n v="6"/>
    <n v="0"/>
    <n v="1"/>
    <n v="91225"/>
  </r>
  <r>
    <n v="44"/>
    <d v="2018-02-13T00:00:00"/>
    <n v="1"/>
    <x v="0"/>
    <x v="1"/>
    <n v="0"/>
    <n v="0"/>
    <n v="0"/>
    <n v="1"/>
    <n v="12977402"/>
  </r>
  <r>
    <n v="45"/>
    <d v="2018-02-14T00:00:00"/>
    <n v="1"/>
    <x v="0"/>
    <x v="1"/>
    <n v="0"/>
    <n v="1"/>
    <n v="1"/>
    <n v="1"/>
    <n v="17015"/>
  </r>
  <r>
    <n v="46"/>
    <d v="2018-02-15T00:00:00"/>
    <n v="1"/>
    <x v="0"/>
    <x v="1"/>
    <n v="0"/>
    <n v="2"/>
    <n v="1"/>
    <n v="1"/>
    <n v="10909567"/>
  </r>
  <r>
    <n v="47"/>
    <d v="2018-02-16T00:00:00"/>
    <n v="1"/>
    <x v="0"/>
    <x v="1"/>
    <n v="0"/>
    <n v="3"/>
    <n v="1"/>
    <n v="1"/>
    <n v="13048701"/>
  </r>
  <r>
    <n v="48"/>
    <d v="2018-02-17T00:00:00"/>
    <n v="1"/>
    <x v="0"/>
    <x v="1"/>
    <n v="0"/>
    <n v="4"/>
    <n v="1"/>
    <n v="1"/>
    <n v="17869153"/>
  </r>
  <r>
    <n v="49"/>
    <d v="2018-02-18T00:00:00"/>
    <n v="1"/>
    <x v="0"/>
    <x v="1"/>
    <n v="0"/>
    <n v="5"/>
    <n v="1"/>
    <n v="1"/>
    <n v="21388347"/>
  </r>
  <r>
    <n v="50"/>
    <d v="2018-02-19T00:00:00"/>
    <n v="1"/>
    <x v="0"/>
    <x v="1"/>
    <n v="0"/>
    <n v="6"/>
    <n v="0"/>
    <n v="1"/>
    <n v="16365847"/>
  </r>
  <r>
    <n v="51"/>
    <d v="2018-02-20T00:00:00"/>
    <n v="1"/>
    <x v="0"/>
    <x v="1"/>
    <n v="0"/>
    <n v="0"/>
    <n v="0"/>
    <n v="1"/>
    <n v="11693897"/>
  </r>
  <r>
    <n v="52"/>
    <d v="2018-02-21T00:00:00"/>
    <n v="1"/>
    <x v="0"/>
    <x v="1"/>
    <n v="1"/>
    <n v="1"/>
    <n v="0"/>
    <n v="2"/>
    <n v="12436653"/>
  </r>
  <r>
    <n v="53"/>
    <d v="2018-02-22T00:00:00"/>
    <n v="1"/>
    <x v="0"/>
    <x v="1"/>
    <n v="0"/>
    <n v="2"/>
    <n v="1"/>
    <n v="1"/>
    <n v="7471102"/>
  </r>
  <r>
    <n v="54"/>
    <d v="2018-02-23T00:00:00"/>
    <n v="1"/>
    <x v="0"/>
    <x v="1"/>
    <n v="0"/>
    <n v="3"/>
    <n v="1"/>
    <n v="1"/>
    <n v="9091299"/>
  </r>
  <r>
    <n v="55"/>
    <d v="2018-02-24T00:00:00"/>
    <n v="1"/>
    <x v="0"/>
    <x v="1"/>
    <n v="0"/>
    <n v="4"/>
    <n v="1"/>
    <n v="2"/>
    <n v="12121732"/>
  </r>
  <r>
    <n v="56"/>
    <d v="2018-02-25T00:00:00"/>
    <n v="1"/>
    <x v="0"/>
    <x v="1"/>
    <n v="0"/>
    <n v="5"/>
    <n v="1"/>
    <n v="2"/>
    <n v="14938268"/>
  </r>
  <r>
    <n v="57"/>
    <d v="2018-02-26T00:00:00"/>
    <n v="1"/>
    <x v="0"/>
    <x v="1"/>
    <n v="0"/>
    <n v="6"/>
    <n v="0"/>
    <n v="1"/>
    <n v="115825"/>
  </r>
  <r>
    <n v="58"/>
    <d v="2018-02-27T00:00:00"/>
    <n v="1"/>
    <x v="0"/>
    <x v="1"/>
    <n v="0"/>
    <n v="0"/>
    <n v="0"/>
    <n v="1"/>
    <n v="14082598"/>
  </r>
  <r>
    <n v="59"/>
    <d v="2018-02-28T00:00:00"/>
    <n v="1"/>
    <x v="0"/>
    <x v="1"/>
    <n v="0"/>
    <n v="1"/>
    <n v="1"/>
    <n v="2"/>
    <n v="16698193"/>
  </r>
  <r>
    <n v="60"/>
    <d v="2018-03-01T00:00:00"/>
    <n v="1"/>
    <x v="0"/>
    <x v="2"/>
    <n v="0"/>
    <n v="2"/>
    <n v="1"/>
    <n v="1"/>
    <n v="10933347"/>
  </r>
  <r>
    <n v="61"/>
    <d v="2018-03-02T00:00:00"/>
    <n v="1"/>
    <x v="0"/>
    <x v="2"/>
    <n v="0"/>
    <n v="3"/>
    <n v="1"/>
    <n v="1"/>
    <n v="13735"/>
  </r>
  <r>
    <n v="62"/>
    <d v="2018-03-03T00:00:00"/>
    <n v="1"/>
    <x v="0"/>
    <x v="2"/>
    <n v="0"/>
    <n v="4"/>
    <n v="1"/>
    <n v="1"/>
    <n v="8131653"/>
  </r>
  <r>
    <n v="63"/>
    <d v="2018-03-04T00:00:00"/>
    <n v="1"/>
    <x v="0"/>
    <x v="2"/>
    <n v="0"/>
    <n v="5"/>
    <n v="1"/>
    <n v="2"/>
    <n v="10728347"/>
  </r>
  <r>
    <n v="64"/>
    <d v="2018-03-05T00:00:00"/>
    <n v="1"/>
    <x v="0"/>
    <x v="2"/>
    <n v="0"/>
    <n v="6"/>
    <n v="0"/>
    <n v="2"/>
    <n v="15750847"/>
  </r>
  <r>
    <n v="65"/>
    <d v="2018-03-06T00:00:00"/>
    <n v="1"/>
    <x v="0"/>
    <x v="2"/>
    <n v="0"/>
    <n v="0"/>
    <n v="0"/>
    <n v="2"/>
    <n v="15437402"/>
  </r>
  <r>
    <n v="66"/>
    <d v="2018-03-07T00:00:00"/>
    <n v="1"/>
    <x v="0"/>
    <x v="2"/>
    <n v="0"/>
    <n v="1"/>
    <n v="1"/>
    <n v="1"/>
    <n v="10731299"/>
  </r>
  <r>
    <n v="67"/>
    <d v="2018-03-08T00:00:00"/>
    <n v="1"/>
    <x v="0"/>
    <x v="2"/>
    <n v="0"/>
    <n v="2"/>
    <n v="1"/>
    <n v="1"/>
    <n v="119925"/>
  </r>
  <r>
    <n v="68"/>
    <d v="2018-03-09T00:00:00"/>
    <n v="1"/>
    <x v="0"/>
    <x v="2"/>
    <n v="0"/>
    <n v="3"/>
    <n v="1"/>
    <n v="2"/>
    <n v="12129153"/>
  </r>
  <r>
    <n v="69"/>
    <d v="2018-03-10T00:00:00"/>
    <n v="1"/>
    <x v="0"/>
    <x v="2"/>
    <n v="0"/>
    <n v="4"/>
    <n v="1"/>
    <n v="3"/>
    <n v="15952731"/>
  </r>
  <r>
    <n v="70"/>
    <d v="2018-03-11T00:00:00"/>
    <n v="1"/>
    <x v="0"/>
    <x v="2"/>
    <n v="0"/>
    <n v="5"/>
    <n v="1"/>
    <n v="2"/>
    <n v="12977402"/>
  </r>
  <r>
    <n v="71"/>
    <d v="2018-03-12T00:00:00"/>
    <n v="1"/>
    <x v="0"/>
    <x v="2"/>
    <n v="0"/>
    <n v="6"/>
    <n v="0"/>
    <n v="1"/>
    <n v="13495847"/>
  </r>
  <r>
    <n v="72"/>
    <d v="2018-03-13T00:00:00"/>
    <n v="1"/>
    <x v="0"/>
    <x v="2"/>
    <n v="0"/>
    <n v="0"/>
    <n v="0"/>
    <n v="1"/>
    <n v="15758268"/>
  </r>
  <r>
    <n v="73"/>
    <d v="2018-03-14T00:00:00"/>
    <n v="1"/>
    <x v="0"/>
    <x v="2"/>
    <n v="0"/>
    <n v="1"/>
    <n v="1"/>
    <n v="1"/>
    <n v="13333897"/>
  </r>
  <r>
    <n v="74"/>
    <d v="2018-03-15T00:00:00"/>
    <n v="1"/>
    <x v="0"/>
    <x v="2"/>
    <n v="0"/>
    <n v="2"/>
    <n v="1"/>
    <n v="2"/>
    <n v="13013031"/>
  </r>
  <r>
    <n v="75"/>
    <d v="2018-03-16T00:00:00"/>
    <n v="1"/>
    <x v="0"/>
    <x v="2"/>
    <n v="0"/>
    <n v="3"/>
    <n v="1"/>
    <n v="2"/>
    <n v="14973897"/>
  </r>
  <r>
    <n v="76"/>
    <d v="2018-03-17T00:00:00"/>
    <n v="1"/>
    <x v="0"/>
    <x v="2"/>
    <n v="0"/>
    <n v="4"/>
    <n v="1"/>
    <n v="1"/>
    <n v="17015"/>
  </r>
  <r>
    <n v="77"/>
    <d v="2018-03-18T00:00:00"/>
    <n v="1"/>
    <x v="0"/>
    <x v="2"/>
    <n v="0"/>
    <n v="5"/>
    <n v="1"/>
    <n v="1"/>
    <s v="22.14"/>
  </r>
  <r>
    <n v="78"/>
    <d v="2018-03-19T00:00:00"/>
    <n v="1"/>
    <x v="0"/>
    <x v="2"/>
    <n v="0"/>
    <n v="6"/>
    <n v="0"/>
    <n v="1"/>
    <n v="193725"/>
  </r>
  <r>
    <n v="79"/>
    <d v="2018-03-20T00:00:00"/>
    <n v="1"/>
    <x v="0"/>
    <x v="2"/>
    <n v="0"/>
    <n v="0"/>
    <n v="0"/>
    <n v="1"/>
    <n v="136325"/>
  </r>
  <r>
    <n v="80"/>
    <d v="2018-03-21T00:00:00"/>
    <n v="2"/>
    <x v="0"/>
    <x v="2"/>
    <n v="0"/>
    <n v="1"/>
    <n v="1"/>
    <n v="2"/>
    <n v="17647835"/>
  </r>
  <r>
    <n v="81"/>
    <d v="2018-03-22T00:00:00"/>
    <n v="2"/>
    <x v="0"/>
    <x v="2"/>
    <n v="0"/>
    <n v="2"/>
    <n v="1"/>
    <n v="1"/>
    <n v="18108347"/>
  </r>
  <r>
    <n v="82"/>
    <d v="2018-03-23T00:00:00"/>
    <n v="2"/>
    <x v="0"/>
    <x v="2"/>
    <n v="0"/>
    <n v="3"/>
    <n v="1"/>
    <n v="2"/>
    <n v="14225237"/>
  </r>
  <r>
    <n v="83"/>
    <d v="2018-03-24T00:00:00"/>
    <n v="2"/>
    <x v="0"/>
    <x v="2"/>
    <n v="0"/>
    <n v="4"/>
    <n v="1"/>
    <n v="2"/>
    <n v="11685"/>
  </r>
  <r>
    <n v="84"/>
    <d v="2018-03-25T00:00:00"/>
    <n v="2"/>
    <x v="0"/>
    <x v="2"/>
    <n v="0"/>
    <n v="5"/>
    <n v="1"/>
    <n v="1"/>
    <n v="10830847"/>
  </r>
  <r>
    <n v="85"/>
    <d v="2018-03-26T00:00:00"/>
    <n v="2"/>
    <x v="0"/>
    <x v="2"/>
    <n v="0"/>
    <n v="6"/>
    <n v="0"/>
    <n v="1"/>
    <n v="10899153"/>
  </r>
  <r>
    <n v="86"/>
    <d v="2018-03-27T00:00:00"/>
    <n v="2"/>
    <x v="0"/>
    <x v="2"/>
    <n v="0"/>
    <n v="0"/>
    <n v="0"/>
    <n v="2"/>
    <n v="10374763"/>
  </r>
  <r>
    <n v="87"/>
    <d v="2018-03-28T00:00:00"/>
    <n v="2"/>
    <x v="0"/>
    <x v="2"/>
    <n v="0"/>
    <n v="1"/>
    <n v="1"/>
    <n v="1"/>
    <n v="10838268"/>
  </r>
  <r>
    <n v="88"/>
    <d v="2018-03-29T00:00:00"/>
    <n v="2"/>
    <x v="0"/>
    <x v="2"/>
    <n v="0"/>
    <n v="2"/>
    <n v="1"/>
    <n v="1"/>
    <n v="124025"/>
  </r>
  <r>
    <n v="89"/>
    <d v="2018-03-30T00:00:00"/>
    <n v="2"/>
    <x v="0"/>
    <x v="2"/>
    <n v="0"/>
    <n v="3"/>
    <n v="1"/>
    <n v="2"/>
    <s v="12.3"/>
  </r>
  <r>
    <n v="90"/>
    <d v="2018-03-31T00:00:00"/>
    <n v="2"/>
    <x v="0"/>
    <x v="2"/>
    <n v="0"/>
    <n v="4"/>
    <n v="1"/>
    <n v="3"/>
    <n v="11001653"/>
  </r>
  <r>
    <n v="91"/>
    <d v="2018-04-01T00:00:00"/>
    <n v="2"/>
    <x v="0"/>
    <x v="3"/>
    <n v="0"/>
    <n v="5"/>
    <n v="1"/>
    <n v="2"/>
    <s v="12.3"/>
  </r>
  <r>
    <n v="92"/>
    <d v="2018-04-02T00:00:00"/>
    <n v="2"/>
    <x v="0"/>
    <x v="3"/>
    <n v="0"/>
    <n v="6"/>
    <n v="0"/>
    <n v="2"/>
    <n v="12915"/>
  </r>
  <r>
    <n v="93"/>
    <d v="2018-04-03T00:00:00"/>
    <n v="2"/>
    <x v="0"/>
    <x v="3"/>
    <n v="0"/>
    <n v="0"/>
    <n v="0"/>
    <n v="1"/>
    <n v="15511653"/>
  </r>
  <r>
    <n v="94"/>
    <d v="2018-04-04T00:00:00"/>
    <n v="2"/>
    <x v="0"/>
    <x v="3"/>
    <n v="0"/>
    <n v="1"/>
    <n v="1"/>
    <n v="1"/>
    <n v="23506653"/>
  </r>
  <r>
    <n v="95"/>
    <d v="2018-04-05T00:00:00"/>
    <n v="2"/>
    <x v="0"/>
    <x v="3"/>
    <n v="0"/>
    <n v="2"/>
    <n v="1"/>
    <n v="2"/>
    <n v="16980847"/>
  </r>
  <r>
    <n v="96"/>
    <d v="2018-04-06T00:00:00"/>
    <n v="2"/>
    <x v="0"/>
    <x v="3"/>
    <n v="0"/>
    <n v="3"/>
    <n v="1"/>
    <n v="1"/>
    <n v="16024153"/>
  </r>
  <r>
    <n v="97"/>
    <d v="2018-04-07T00:00:00"/>
    <n v="2"/>
    <x v="0"/>
    <x v="3"/>
    <n v="0"/>
    <n v="4"/>
    <n v="1"/>
    <n v="1"/>
    <n v="179375"/>
  </r>
  <r>
    <n v="98"/>
    <d v="2018-04-08T00:00:00"/>
    <n v="2"/>
    <x v="0"/>
    <x v="3"/>
    <n v="0"/>
    <n v="5"/>
    <n v="1"/>
    <n v="2"/>
    <n v="13769153"/>
  </r>
  <r>
    <n v="99"/>
    <d v="2018-04-09T00:00:00"/>
    <n v="2"/>
    <x v="0"/>
    <x v="3"/>
    <n v="0"/>
    <n v="6"/>
    <n v="0"/>
    <n v="2"/>
    <n v="140425"/>
  </r>
  <r>
    <n v="100"/>
    <d v="2018-04-10T00:00:00"/>
    <n v="2"/>
    <x v="0"/>
    <x v="3"/>
    <n v="0"/>
    <n v="0"/>
    <n v="0"/>
    <n v="2"/>
    <n v="17493347"/>
  </r>
  <r>
    <n v="101"/>
    <d v="2018-04-11T00:00:00"/>
    <n v="2"/>
    <x v="0"/>
    <x v="3"/>
    <n v="0"/>
    <n v="1"/>
    <n v="1"/>
    <n v="2"/>
    <n v="24421732"/>
  </r>
  <r>
    <n v="102"/>
    <d v="2018-04-12T00:00:00"/>
    <n v="2"/>
    <x v="0"/>
    <x v="3"/>
    <n v="0"/>
    <n v="2"/>
    <n v="1"/>
    <n v="2"/>
    <n v="206025"/>
  </r>
  <r>
    <n v="103"/>
    <d v="2018-04-13T00:00:00"/>
    <n v="2"/>
    <x v="0"/>
    <x v="3"/>
    <n v="0"/>
    <n v="3"/>
    <n v="1"/>
    <n v="2"/>
    <n v="169125"/>
  </r>
  <r>
    <n v="104"/>
    <d v="2018-04-14T00:00:00"/>
    <n v="2"/>
    <x v="0"/>
    <x v="3"/>
    <n v="0"/>
    <n v="4"/>
    <n v="1"/>
    <n v="1"/>
    <n v="191675"/>
  </r>
  <r>
    <n v="105"/>
    <d v="2018-04-15T00:00:00"/>
    <n v="2"/>
    <x v="0"/>
    <x v="3"/>
    <n v="1"/>
    <n v="5"/>
    <n v="0"/>
    <n v="1"/>
    <n v="18313347"/>
  </r>
  <r>
    <n v="106"/>
    <d v="2018-04-16T00:00:00"/>
    <n v="2"/>
    <x v="0"/>
    <x v="3"/>
    <n v="0"/>
    <n v="6"/>
    <n v="0"/>
    <n v="3"/>
    <n v="17664153"/>
  </r>
  <r>
    <n v="107"/>
    <d v="2018-04-17T00:00:00"/>
    <n v="2"/>
    <x v="0"/>
    <x v="3"/>
    <n v="0"/>
    <n v="0"/>
    <n v="0"/>
    <n v="1"/>
    <n v="18723347"/>
  </r>
  <r>
    <n v="108"/>
    <d v="2018-04-18T00:00:00"/>
    <n v="2"/>
    <x v="0"/>
    <x v="3"/>
    <n v="0"/>
    <n v="1"/>
    <n v="1"/>
    <n v="1"/>
    <n v="210125"/>
  </r>
  <r>
    <n v="109"/>
    <d v="2018-04-19T00:00:00"/>
    <n v="2"/>
    <x v="0"/>
    <x v="3"/>
    <n v="0"/>
    <n v="2"/>
    <n v="1"/>
    <n v="2"/>
    <n v="20739153"/>
  </r>
  <r>
    <n v="110"/>
    <d v="2018-04-20T00:00:00"/>
    <n v="2"/>
    <x v="0"/>
    <x v="3"/>
    <n v="0"/>
    <n v="3"/>
    <n v="1"/>
    <n v="1"/>
    <n v="24395"/>
  </r>
  <r>
    <n v="111"/>
    <d v="2018-04-21T00:00:00"/>
    <n v="2"/>
    <x v="0"/>
    <x v="3"/>
    <n v="0"/>
    <n v="4"/>
    <n v="1"/>
    <n v="1"/>
    <n v="18825847"/>
  </r>
  <r>
    <n v="112"/>
    <d v="2018-04-22T00:00:00"/>
    <n v="2"/>
    <x v="0"/>
    <x v="3"/>
    <n v="0"/>
    <n v="5"/>
    <n v="1"/>
    <n v="2"/>
    <n v="13803347"/>
  </r>
  <r>
    <n v="113"/>
    <d v="2018-04-23T00:00:00"/>
    <n v="2"/>
    <x v="0"/>
    <x v="3"/>
    <n v="0"/>
    <n v="6"/>
    <n v="0"/>
    <n v="2"/>
    <s v="18.86"/>
  </r>
  <r>
    <n v="114"/>
    <d v="2018-04-24T00:00:00"/>
    <n v="2"/>
    <x v="0"/>
    <x v="3"/>
    <n v="0"/>
    <n v="0"/>
    <n v="0"/>
    <n v="2"/>
    <n v="23848347"/>
  </r>
  <r>
    <n v="115"/>
    <d v="2018-04-25T00:00:00"/>
    <n v="2"/>
    <x v="0"/>
    <x v="3"/>
    <n v="0"/>
    <n v="1"/>
    <n v="1"/>
    <n v="1"/>
    <n v="24873347"/>
  </r>
  <r>
    <n v="116"/>
    <d v="2018-04-26T00:00:00"/>
    <n v="2"/>
    <x v="0"/>
    <x v="3"/>
    <n v="0"/>
    <n v="2"/>
    <n v="1"/>
    <n v="1"/>
    <n v="25898347"/>
  </r>
  <r>
    <n v="117"/>
    <d v="2018-04-27T00:00:00"/>
    <n v="2"/>
    <x v="0"/>
    <x v="3"/>
    <n v="0"/>
    <n v="3"/>
    <n v="1"/>
    <n v="2"/>
    <s v="25.42"/>
  </r>
  <r>
    <n v="118"/>
    <d v="2018-04-28T00:00:00"/>
    <n v="2"/>
    <x v="0"/>
    <x v="3"/>
    <n v="0"/>
    <n v="4"/>
    <n v="1"/>
    <n v="2"/>
    <n v="253175"/>
  </r>
  <r>
    <n v="119"/>
    <d v="2018-04-29T00:00:00"/>
    <n v="2"/>
    <x v="0"/>
    <x v="3"/>
    <n v="0"/>
    <n v="5"/>
    <n v="1"/>
    <n v="1"/>
    <s v="20.91"/>
  </r>
  <r>
    <n v="120"/>
    <d v="2018-04-30T00:00:00"/>
    <n v="2"/>
    <x v="0"/>
    <x v="3"/>
    <n v="0"/>
    <n v="6"/>
    <n v="0"/>
    <n v="1"/>
    <n v="193725"/>
  </r>
  <r>
    <n v="121"/>
    <d v="2018-05-01T00:00:00"/>
    <n v="2"/>
    <x v="0"/>
    <x v="4"/>
    <n v="0"/>
    <n v="0"/>
    <n v="0"/>
    <n v="2"/>
    <n v="18518347"/>
  </r>
  <r>
    <n v="122"/>
    <d v="2018-05-02T00:00:00"/>
    <n v="2"/>
    <x v="0"/>
    <x v="4"/>
    <n v="0"/>
    <n v="1"/>
    <n v="1"/>
    <n v="2"/>
    <n v="22515847"/>
  </r>
  <r>
    <n v="123"/>
    <d v="2018-05-03T00:00:00"/>
    <n v="2"/>
    <x v="0"/>
    <x v="4"/>
    <n v="0"/>
    <n v="2"/>
    <n v="1"/>
    <n v="2"/>
    <n v="25283347"/>
  </r>
  <r>
    <n v="124"/>
    <d v="2018-05-04T00:00:00"/>
    <n v="2"/>
    <x v="0"/>
    <x v="4"/>
    <n v="0"/>
    <n v="3"/>
    <n v="1"/>
    <n v="2"/>
    <n v="16980847"/>
  </r>
  <r>
    <n v="125"/>
    <d v="2018-05-05T00:00:00"/>
    <n v="2"/>
    <x v="0"/>
    <x v="4"/>
    <n v="0"/>
    <n v="4"/>
    <n v="1"/>
    <n v="1"/>
    <n v="18825847"/>
  </r>
  <r>
    <n v="126"/>
    <d v="2018-05-06T00:00:00"/>
    <n v="2"/>
    <x v="0"/>
    <x v="4"/>
    <n v="0"/>
    <n v="5"/>
    <n v="1"/>
    <n v="1"/>
    <n v="19645847"/>
  </r>
  <r>
    <n v="127"/>
    <d v="2018-05-07T00:00:00"/>
    <n v="2"/>
    <x v="0"/>
    <x v="4"/>
    <n v="0"/>
    <n v="6"/>
    <n v="0"/>
    <n v="1"/>
    <s v="21.32"/>
  </r>
  <r>
    <n v="128"/>
    <d v="2018-05-08T00:00:00"/>
    <n v="2"/>
    <x v="0"/>
    <x v="4"/>
    <n v="0"/>
    <n v="0"/>
    <n v="0"/>
    <n v="1"/>
    <n v="21661653"/>
  </r>
  <r>
    <n v="129"/>
    <d v="2018-05-09T00:00:00"/>
    <n v="2"/>
    <x v="0"/>
    <x v="4"/>
    <n v="0"/>
    <n v="1"/>
    <n v="1"/>
    <n v="1"/>
    <n v="218325"/>
  </r>
  <r>
    <n v="130"/>
    <d v="2018-05-10T00:00:00"/>
    <n v="2"/>
    <x v="0"/>
    <x v="4"/>
    <n v="0"/>
    <n v="2"/>
    <n v="1"/>
    <n v="1"/>
    <n v="218325"/>
  </r>
  <r>
    <n v="131"/>
    <d v="2018-05-11T00:00:00"/>
    <n v="2"/>
    <x v="0"/>
    <x v="4"/>
    <n v="0"/>
    <n v="3"/>
    <n v="1"/>
    <n v="1"/>
    <n v="222425"/>
  </r>
  <r>
    <n v="132"/>
    <d v="2018-05-12T00:00:00"/>
    <n v="2"/>
    <x v="0"/>
    <x v="4"/>
    <n v="0"/>
    <n v="4"/>
    <n v="1"/>
    <n v="1"/>
    <n v="21935"/>
  </r>
  <r>
    <n v="133"/>
    <d v="2018-05-13T00:00:00"/>
    <n v="2"/>
    <x v="0"/>
    <x v="4"/>
    <n v="0"/>
    <n v="5"/>
    <n v="1"/>
    <n v="2"/>
    <n v="210125"/>
  </r>
  <r>
    <n v="134"/>
    <d v="2018-05-14T00:00:00"/>
    <n v="2"/>
    <x v="0"/>
    <x v="4"/>
    <n v="0"/>
    <n v="6"/>
    <n v="0"/>
    <n v="2"/>
    <n v="21354153"/>
  </r>
  <r>
    <n v="135"/>
    <d v="2018-05-15T00:00:00"/>
    <n v="2"/>
    <x v="0"/>
    <x v="4"/>
    <n v="0"/>
    <n v="0"/>
    <n v="0"/>
    <n v="2"/>
    <n v="230625"/>
  </r>
  <r>
    <n v="136"/>
    <d v="2018-05-16T00:00:00"/>
    <n v="2"/>
    <x v="0"/>
    <x v="4"/>
    <n v="0"/>
    <n v="1"/>
    <n v="1"/>
    <n v="1"/>
    <n v="236775"/>
  </r>
  <r>
    <n v="137"/>
    <d v="2018-05-17T00:00:00"/>
    <n v="2"/>
    <x v="0"/>
    <x v="4"/>
    <n v="0"/>
    <n v="2"/>
    <n v="1"/>
    <n v="2"/>
    <n v="23028347"/>
  </r>
  <r>
    <n v="138"/>
    <d v="2018-05-18T00:00:00"/>
    <n v="2"/>
    <x v="0"/>
    <x v="4"/>
    <n v="0"/>
    <n v="3"/>
    <n v="1"/>
    <n v="2"/>
    <s v="22.55"/>
  </r>
  <r>
    <n v="139"/>
    <d v="2018-05-19T00:00:00"/>
    <n v="2"/>
    <x v="0"/>
    <x v="4"/>
    <n v="0"/>
    <n v="4"/>
    <n v="1"/>
    <n v="2"/>
    <n v="21764153"/>
  </r>
  <r>
    <n v="140"/>
    <d v="2018-05-20T00:00:00"/>
    <n v="2"/>
    <x v="0"/>
    <x v="4"/>
    <n v="0"/>
    <n v="5"/>
    <n v="1"/>
    <n v="1"/>
    <n v="22003347"/>
  </r>
  <r>
    <n v="141"/>
    <d v="2018-05-21T00:00:00"/>
    <n v="2"/>
    <x v="0"/>
    <x v="4"/>
    <n v="0"/>
    <n v="6"/>
    <n v="0"/>
    <n v="1"/>
    <n v="247025"/>
  </r>
  <r>
    <n v="142"/>
    <d v="2018-05-22T00:00:00"/>
    <n v="2"/>
    <x v="0"/>
    <x v="4"/>
    <n v="0"/>
    <n v="0"/>
    <n v="0"/>
    <n v="1"/>
    <n v="24770847"/>
  </r>
  <r>
    <n v="143"/>
    <d v="2018-05-23T00:00:00"/>
    <n v="2"/>
    <x v="0"/>
    <x v="4"/>
    <n v="0"/>
    <n v="1"/>
    <n v="1"/>
    <n v="2"/>
    <n v="25898347"/>
  </r>
  <r>
    <n v="144"/>
    <d v="2018-05-24T00:00:00"/>
    <n v="2"/>
    <x v="0"/>
    <x v="4"/>
    <n v="0"/>
    <n v="2"/>
    <n v="1"/>
    <n v="2"/>
    <s v="27.06"/>
  </r>
  <r>
    <n v="145"/>
    <d v="2018-05-25T00:00:00"/>
    <n v="2"/>
    <x v="0"/>
    <x v="4"/>
    <n v="0"/>
    <n v="3"/>
    <n v="1"/>
    <n v="1"/>
    <n v="27094153"/>
  </r>
  <r>
    <n v="146"/>
    <d v="2018-05-26T00:00:00"/>
    <n v="2"/>
    <x v="0"/>
    <x v="4"/>
    <n v="0"/>
    <n v="4"/>
    <n v="1"/>
    <n v="1"/>
    <n v="29041653"/>
  </r>
  <r>
    <n v="147"/>
    <d v="2018-05-27T00:00:00"/>
    <n v="2"/>
    <x v="0"/>
    <x v="4"/>
    <n v="0"/>
    <n v="5"/>
    <n v="1"/>
    <n v="1"/>
    <n v="27948347"/>
  </r>
  <r>
    <n v="148"/>
    <d v="2018-05-28T00:00:00"/>
    <n v="2"/>
    <x v="0"/>
    <x v="4"/>
    <n v="0"/>
    <n v="6"/>
    <n v="0"/>
    <n v="1"/>
    <n v="26889153"/>
  </r>
  <r>
    <n v="149"/>
    <d v="2018-05-29T00:00:00"/>
    <n v="2"/>
    <x v="0"/>
    <x v="4"/>
    <n v="0"/>
    <n v="0"/>
    <n v="0"/>
    <n v="1"/>
    <n v="273675"/>
  </r>
  <r>
    <n v="150"/>
    <d v="2018-05-30T00:00:00"/>
    <n v="2"/>
    <x v="0"/>
    <x v="4"/>
    <n v="1"/>
    <n v="1"/>
    <n v="0"/>
    <n v="1"/>
    <n v="30066653"/>
  </r>
  <r>
    <n v="151"/>
    <d v="2018-05-31T00:00:00"/>
    <n v="2"/>
    <x v="0"/>
    <x v="4"/>
    <n v="0"/>
    <n v="2"/>
    <n v="1"/>
    <n v="1"/>
    <n v="31775"/>
  </r>
  <r>
    <n v="152"/>
    <d v="2018-06-01T00:00:00"/>
    <n v="2"/>
    <x v="0"/>
    <x v="5"/>
    <n v="0"/>
    <n v="3"/>
    <n v="1"/>
    <n v="2"/>
    <n v="31330847"/>
  </r>
  <r>
    <n v="153"/>
    <d v="2018-06-02T00:00:00"/>
    <n v="2"/>
    <x v="0"/>
    <x v="5"/>
    <n v="0"/>
    <n v="4"/>
    <n v="1"/>
    <n v="1"/>
    <n v="29315"/>
  </r>
  <r>
    <n v="154"/>
    <d v="2018-06-03T00:00:00"/>
    <n v="2"/>
    <x v="0"/>
    <x v="5"/>
    <n v="0"/>
    <n v="5"/>
    <n v="1"/>
    <n v="1"/>
    <s v="25.42"/>
  </r>
  <r>
    <n v="155"/>
    <d v="2018-06-04T00:00:00"/>
    <n v="2"/>
    <x v="0"/>
    <x v="5"/>
    <n v="0"/>
    <n v="6"/>
    <n v="0"/>
    <n v="1"/>
    <n v="26035"/>
  </r>
  <r>
    <n v="156"/>
    <d v="2018-06-05T00:00:00"/>
    <n v="2"/>
    <x v="0"/>
    <x v="5"/>
    <n v="0"/>
    <n v="0"/>
    <n v="0"/>
    <n v="2"/>
    <n v="26581653"/>
  </r>
  <r>
    <n v="157"/>
    <d v="2018-06-06T00:00:00"/>
    <n v="2"/>
    <x v="0"/>
    <x v="5"/>
    <n v="0"/>
    <n v="1"/>
    <n v="1"/>
    <n v="1"/>
    <n v="27811653"/>
  </r>
  <r>
    <n v="158"/>
    <d v="2018-06-07T00:00:00"/>
    <n v="2"/>
    <x v="0"/>
    <x v="5"/>
    <n v="0"/>
    <n v="2"/>
    <n v="1"/>
    <n v="1"/>
    <n v="290075"/>
  </r>
  <r>
    <n v="159"/>
    <d v="2018-06-08T00:00:00"/>
    <n v="2"/>
    <x v="0"/>
    <x v="5"/>
    <n v="0"/>
    <n v="3"/>
    <n v="1"/>
    <n v="1"/>
    <n v="31809153"/>
  </r>
  <r>
    <n v="160"/>
    <d v="2018-06-09T00:00:00"/>
    <n v="2"/>
    <x v="0"/>
    <x v="5"/>
    <n v="0"/>
    <n v="4"/>
    <n v="1"/>
    <n v="2"/>
    <n v="33141653"/>
  </r>
  <r>
    <n v="161"/>
    <d v="2018-06-10T00:00:00"/>
    <n v="2"/>
    <x v="0"/>
    <x v="5"/>
    <n v="0"/>
    <n v="5"/>
    <n v="1"/>
    <n v="1"/>
    <n v="30955"/>
  </r>
  <r>
    <n v="162"/>
    <d v="2018-06-11T00:00:00"/>
    <n v="2"/>
    <x v="0"/>
    <x v="5"/>
    <n v="0"/>
    <n v="6"/>
    <n v="0"/>
    <n v="1"/>
    <n v="29725"/>
  </r>
  <r>
    <n v="163"/>
    <d v="2018-06-12T00:00:00"/>
    <n v="2"/>
    <x v="0"/>
    <x v="5"/>
    <n v="0"/>
    <n v="0"/>
    <n v="0"/>
    <n v="1"/>
    <n v="283925"/>
  </r>
  <r>
    <n v="164"/>
    <d v="2018-06-13T00:00:00"/>
    <n v="2"/>
    <x v="0"/>
    <x v="5"/>
    <n v="0"/>
    <n v="1"/>
    <n v="1"/>
    <n v="1"/>
    <n v="26035"/>
  </r>
  <r>
    <n v="165"/>
    <d v="2018-06-14T00:00:00"/>
    <n v="2"/>
    <x v="0"/>
    <x v="5"/>
    <n v="0"/>
    <n v="2"/>
    <n v="1"/>
    <n v="1"/>
    <n v="24770847"/>
  </r>
  <r>
    <n v="166"/>
    <d v="2018-06-15T00:00:00"/>
    <n v="2"/>
    <x v="0"/>
    <x v="5"/>
    <n v="0"/>
    <n v="3"/>
    <n v="1"/>
    <n v="1"/>
    <n v="25693347"/>
  </r>
  <r>
    <n v="167"/>
    <d v="2018-06-16T00:00:00"/>
    <n v="2"/>
    <x v="0"/>
    <x v="5"/>
    <n v="0"/>
    <n v="4"/>
    <n v="1"/>
    <n v="2"/>
    <n v="25761653"/>
  </r>
  <r>
    <n v="168"/>
    <d v="2018-06-17T00:00:00"/>
    <n v="2"/>
    <x v="0"/>
    <x v="5"/>
    <n v="0"/>
    <n v="5"/>
    <n v="1"/>
    <n v="1"/>
    <n v="26615847"/>
  </r>
  <r>
    <n v="169"/>
    <d v="2018-06-18T00:00:00"/>
    <n v="2"/>
    <x v="0"/>
    <x v="5"/>
    <n v="0"/>
    <n v="6"/>
    <n v="0"/>
    <n v="1"/>
    <n v="28563347"/>
  </r>
  <r>
    <n v="170"/>
    <d v="2018-06-19T00:00:00"/>
    <n v="2"/>
    <x v="0"/>
    <x v="5"/>
    <n v="0"/>
    <n v="0"/>
    <n v="0"/>
    <n v="2"/>
    <n v="28665847"/>
  </r>
  <r>
    <n v="171"/>
    <d v="2018-06-20T00:00:00"/>
    <n v="2"/>
    <x v="0"/>
    <x v="5"/>
    <n v="0"/>
    <n v="1"/>
    <n v="1"/>
    <n v="2"/>
    <n v="26035"/>
  </r>
  <r>
    <n v="172"/>
    <d v="2018-06-21T00:00:00"/>
    <n v="3"/>
    <x v="0"/>
    <x v="5"/>
    <n v="0"/>
    <n v="2"/>
    <n v="1"/>
    <n v="2"/>
    <n v="27914153"/>
  </r>
  <r>
    <n v="173"/>
    <d v="2018-06-22T00:00:00"/>
    <n v="3"/>
    <x v="0"/>
    <x v="5"/>
    <n v="0"/>
    <n v="3"/>
    <n v="1"/>
    <n v="1"/>
    <n v="30066653"/>
  </r>
  <r>
    <n v="174"/>
    <d v="2018-06-23T00:00:00"/>
    <n v="3"/>
    <x v="0"/>
    <x v="5"/>
    <n v="0"/>
    <n v="4"/>
    <n v="1"/>
    <n v="2"/>
    <n v="29861653"/>
  </r>
  <r>
    <n v="175"/>
    <d v="2018-06-24T00:00:00"/>
    <n v="3"/>
    <x v="0"/>
    <x v="5"/>
    <n v="0"/>
    <n v="5"/>
    <n v="1"/>
    <n v="1"/>
    <n v="29690847"/>
  </r>
  <r>
    <n v="176"/>
    <d v="2018-06-25T00:00:00"/>
    <n v="3"/>
    <x v="0"/>
    <x v="5"/>
    <n v="0"/>
    <n v="6"/>
    <n v="0"/>
    <n v="1"/>
    <n v="28495"/>
  </r>
  <r>
    <n v="177"/>
    <d v="2018-06-26T00:00:00"/>
    <n v="3"/>
    <x v="0"/>
    <x v="5"/>
    <n v="0"/>
    <n v="0"/>
    <n v="0"/>
    <n v="1"/>
    <s v="27.88"/>
  </r>
  <r>
    <n v="178"/>
    <d v="2018-06-27T00:00:00"/>
    <n v="3"/>
    <x v="0"/>
    <x v="5"/>
    <n v="0"/>
    <n v="1"/>
    <n v="1"/>
    <n v="2"/>
    <n v="279825"/>
  </r>
  <r>
    <n v="179"/>
    <d v="2018-06-28T00:00:00"/>
    <n v="3"/>
    <x v="0"/>
    <x v="5"/>
    <n v="0"/>
    <n v="2"/>
    <n v="1"/>
    <n v="1"/>
    <n v="30510847"/>
  </r>
  <r>
    <n v="180"/>
    <d v="2018-06-29T00:00:00"/>
    <n v="3"/>
    <x v="0"/>
    <x v="5"/>
    <n v="0"/>
    <n v="3"/>
    <n v="1"/>
    <n v="1"/>
    <n v="29861653"/>
  </r>
  <r>
    <n v="181"/>
    <d v="2018-06-30T00:00:00"/>
    <n v="3"/>
    <x v="0"/>
    <x v="5"/>
    <n v="0"/>
    <n v="4"/>
    <n v="1"/>
    <n v="1"/>
    <n v="28563347"/>
  </r>
  <r>
    <n v="182"/>
    <d v="2018-07-01T00:00:00"/>
    <n v="3"/>
    <x v="0"/>
    <x v="6"/>
    <n v="0"/>
    <n v="5"/>
    <n v="1"/>
    <n v="1"/>
    <n v="296225"/>
  </r>
  <r>
    <n v="183"/>
    <d v="2018-07-02T00:00:00"/>
    <n v="3"/>
    <x v="0"/>
    <x v="6"/>
    <n v="0"/>
    <n v="6"/>
    <n v="0"/>
    <n v="1"/>
    <n v="30271653"/>
  </r>
  <r>
    <n v="184"/>
    <d v="2018-07-03T00:00:00"/>
    <n v="3"/>
    <x v="0"/>
    <x v="6"/>
    <n v="0"/>
    <n v="0"/>
    <n v="0"/>
    <n v="2"/>
    <n v="29383347"/>
  </r>
  <r>
    <n v="185"/>
    <d v="2018-07-04T00:00:00"/>
    <n v="3"/>
    <x v="0"/>
    <x v="6"/>
    <n v="1"/>
    <n v="1"/>
    <n v="0"/>
    <n v="2"/>
    <n v="29793347"/>
  </r>
  <r>
    <n v="186"/>
    <d v="2018-07-05T00:00:00"/>
    <n v="3"/>
    <x v="0"/>
    <x v="6"/>
    <n v="0"/>
    <n v="2"/>
    <n v="1"/>
    <n v="1"/>
    <n v="30613347"/>
  </r>
  <r>
    <n v="187"/>
    <d v="2018-07-06T00:00:00"/>
    <n v="3"/>
    <x v="0"/>
    <x v="6"/>
    <n v="0"/>
    <n v="3"/>
    <n v="1"/>
    <n v="1"/>
    <s v="29.52"/>
  </r>
  <r>
    <n v="188"/>
    <d v="2018-07-07T00:00:00"/>
    <n v="3"/>
    <x v="0"/>
    <x v="6"/>
    <n v="0"/>
    <n v="4"/>
    <n v="1"/>
    <n v="1"/>
    <s v="30.75"/>
  </r>
  <r>
    <n v="189"/>
    <d v="2018-07-08T00:00:00"/>
    <n v="3"/>
    <x v="0"/>
    <x v="6"/>
    <n v="0"/>
    <n v="5"/>
    <n v="1"/>
    <n v="2"/>
    <n v="29075847"/>
  </r>
  <r>
    <n v="190"/>
    <d v="2018-07-09T00:00:00"/>
    <n v="3"/>
    <x v="0"/>
    <x v="6"/>
    <n v="0"/>
    <n v="6"/>
    <n v="0"/>
    <n v="1"/>
    <n v="30066653"/>
  </r>
  <r>
    <n v="191"/>
    <d v="2018-07-10T00:00:00"/>
    <n v="3"/>
    <x v="0"/>
    <x v="6"/>
    <n v="0"/>
    <n v="0"/>
    <n v="0"/>
    <n v="1"/>
    <n v="306475"/>
  </r>
  <r>
    <n v="192"/>
    <d v="2018-07-11T00:00:00"/>
    <n v="3"/>
    <x v="0"/>
    <x v="6"/>
    <n v="0"/>
    <n v="1"/>
    <n v="1"/>
    <n v="1"/>
    <n v="312625"/>
  </r>
  <r>
    <n v="193"/>
    <d v="2018-07-12T00:00:00"/>
    <n v="3"/>
    <x v="0"/>
    <x v="6"/>
    <n v="0"/>
    <n v="2"/>
    <n v="1"/>
    <n v="1"/>
    <n v="32560847"/>
  </r>
  <r>
    <n v="194"/>
    <d v="2018-07-13T00:00:00"/>
    <n v="3"/>
    <x v="0"/>
    <x v="6"/>
    <n v="0"/>
    <n v="3"/>
    <n v="1"/>
    <n v="1"/>
    <n v="30613347"/>
  </r>
  <r>
    <n v="195"/>
    <d v="2018-07-14T00:00:00"/>
    <n v="3"/>
    <x v="0"/>
    <x v="6"/>
    <n v="0"/>
    <n v="4"/>
    <n v="1"/>
    <n v="1"/>
    <n v="27914153"/>
  </r>
  <r>
    <n v="196"/>
    <d v="2018-07-15T00:00:00"/>
    <n v="3"/>
    <x v="0"/>
    <x v="6"/>
    <n v="0"/>
    <n v="5"/>
    <n v="1"/>
    <n v="1"/>
    <n v="27196653"/>
  </r>
  <r>
    <n v="197"/>
    <d v="2018-07-16T00:00:00"/>
    <n v="3"/>
    <x v="0"/>
    <x v="6"/>
    <n v="0"/>
    <n v="6"/>
    <n v="0"/>
    <n v="1"/>
    <n v="28153347"/>
  </r>
  <r>
    <n v="198"/>
    <d v="2018-07-17T00:00:00"/>
    <n v="3"/>
    <x v="0"/>
    <x v="6"/>
    <n v="0"/>
    <n v="0"/>
    <n v="0"/>
    <n v="1"/>
    <n v="29485847"/>
  </r>
  <r>
    <n v="199"/>
    <d v="2018-07-18T00:00:00"/>
    <n v="3"/>
    <x v="0"/>
    <x v="6"/>
    <n v="0"/>
    <n v="1"/>
    <n v="1"/>
    <n v="1"/>
    <n v="30613347"/>
  </r>
  <r>
    <n v="200"/>
    <d v="2018-07-19T00:00:00"/>
    <n v="3"/>
    <x v="0"/>
    <x v="6"/>
    <n v="0"/>
    <n v="2"/>
    <n v="1"/>
    <n v="1"/>
    <n v="31843347"/>
  </r>
  <r>
    <n v="201"/>
    <d v="2018-07-20T00:00:00"/>
    <n v="3"/>
    <x v="0"/>
    <x v="6"/>
    <n v="0"/>
    <n v="3"/>
    <n v="1"/>
    <n v="1"/>
    <n v="31501653"/>
  </r>
  <r>
    <n v="202"/>
    <d v="2018-07-21T00:00:00"/>
    <n v="3"/>
    <x v="0"/>
    <x v="6"/>
    <n v="0"/>
    <n v="4"/>
    <n v="1"/>
    <n v="2"/>
    <n v="33415"/>
  </r>
  <r>
    <n v="203"/>
    <d v="2018-07-22T00:00:00"/>
    <n v="3"/>
    <x v="0"/>
    <x v="6"/>
    <n v="0"/>
    <n v="5"/>
    <n v="1"/>
    <n v="1"/>
    <n v="34781653"/>
  </r>
  <r>
    <n v="204"/>
    <d v="2018-07-23T00:00:00"/>
    <n v="3"/>
    <x v="0"/>
    <x v="6"/>
    <n v="0"/>
    <n v="6"/>
    <n v="0"/>
    <n v="1"/>
    <n v="34815847"/>
  </r>
  <r>
    <n v="205"/>
    <d v="2018-07-24T00:00:00"/>
    <n v="3"/>
    <x v="0"/>
    <x v="6"/>
    <n v="0"/>
    <n v="0"/>
    <n v="0"/>
    <n v="1"/>
    <s v="34.03"/>
  </r>
  <r>
    <n v="206"/>
    <d v="2018-07-25T00:00:00"/>
    <n v="3"/>
    <x v="0"/>
    <x v="6"/>
    <n v="0"/>
    <n v="1"/>
    <n v="1"/>
    <n v="1"/>
    <n v="30476653"/>
  </r>
  <r>
    <n v="207"/>
    <d v="2018-07-26T00:00:00"/>
    <n v="3"/>
    <x v="0"/>
    <x v="6"/>
    <n v="0"/>
    <n v="2"/>
    <n v="1"/>
    <n v="1"/>
    <n v="31638347"/>
  </r>
  <r>
    <n v="208"/>
    <d v="2018-07-27T00:00:00"/>
    <n v="3"/>
    <x v="0"/>
    <x v="6"/>
    <n v="0"/>
    <n v="3"/>
    <n v="1"/>
    <n v="1"/>
    <n v="31775"/>
  </r>
  <r>
    <n v="209"/>
    <d v="2018-07-28T00:00:00"/>
    <n v="3"/>
    <x v="0"/>
    <x v="6"/>
    <n v="0"/>
    <n v="4"/>
    <n v="1"/>
    <n v="1"/>
    <n v="31945847"/>
  </r>
  <r>
    <n v="210"/>
    <d v="2018-07-29T00:00:00"/>
    <n v="3"/>
    <x v="0"/>
    <x v="6"/>
    <n v="0"/>
    <n v="5"/>
    <n v="1"/>
    <n v="1"/>
    <n v="34371653"/>
  </r>
  <r>
    <n v="211"/>
    <d v="2018-07-30T00:00:00"/>
    <n v="3"/>
    <x v="0"/>
    <x v="6"/>
    <n v="0"/>
    <n v="6"/>
    <n v="0"/>
    <n v="1"/>
    <n v="32970847"/>
  </r>
  <r>
    <n v="212"/>
    <d v="2018-07-31T00:00:00"/>
    <n v="3"/>
    <x v="0"/>
    <x v="6"/>
    <n v="0"/>
    <n v="0"/>
    <n v="0"/>
    <n v="1"/>
    <n v="33039153"/>
  </r>
  <r>
    <n v="213"/>
    <d v="2018-08-01T00:00:00"/>
    <n v="3"/>
    <x v="0"/>
    <x v="7"/>
    <n v="0"/>
    <n v="1"/>
    <n v="1"/>
    <n v="1"/>
    <n v="31638347"/>
  </r>
  <r>
    <n v="214"/>
    <d v="2018-08-02T00:00:00"/>
    <n v="3"/>
    <x v="0"/>
    <x v="7"/>
    <n v="0"/>
    <n v="2"/>
    <n v="1"/>
    <n v="1"/>
    <n v="32116653"/>
  </r>
  <r>
    <n v="215"/>
    <d v="2018-08-03T00:00:00"/>
    <n v="3"/>
    <x v="0"/>
    <x v="7"/>
    <n v="0"/>
    <n v="3"/>
    <n v="1"/>
    <n v="2"/>
    <n v="29998347"/>
  </r>
  <r>
    <n v="216"/>
    <d v="2018-08-04T00:00:00"/>
    <n v="3"/>
    <x v="0"/>
    <x v="7"/>
    <n v="0"/>
    <n v="4"/>
    <n v="1"/>
    <n v="2"/>
    <s v="29.11"/>
  </r>
  <r>
    <n v="217"/>
    <d v="2018-08-05T00:00:00"/>
    <n v="3"/>
    <x v="0"/>
    <x v="7"/>
    <n v="0"/>
    <n v="5"/>
    <n v="1"/>
    <n v="1"/>
    <n v="29144153"/>
  </r>
  <r>
    <n v="218"/>
    <d v="2018-08-06T00:00:00"/>
    <n v="3"/>
    <x v="0"/>
    <x v="7"/>
    <n v="0"/>
    <n v="6"/>
    <n v="0"/>
    <n v="2"/>
    <n v="29383347"/>
  </r>
  <r>
    <n v="219"/>
    <d v="2018-08-07T00:00:00"/>
    <n v="3"/>
    <x v="0"/>
    <x v="7"/>
    <n v="0"/>
    <n v="0"/>
    <n v="0"/>
    <n v="1"/>
    <n v="304425"/>
  </r>
  <r>
    <n v="220"/>
    <d v="2018-08-08T00:00:00"/>
    <n v="3"/>
    <x v="0"/>
    <x v="7"/>
    <n v="0"/>
    <n v="1"/>
    <n v="1"/>
    <n v="1"/>
    <n v="31365"/>
  </r>
  <r>
    <n v="221"/>
    <d v="2018-08-09T00:00:00"/>
    <n v="3"/>
    <x v="0"/>
    <x v="7"/>
    <n v="0"/>
    <n v="2"/>
    <n v="1"/>
    <n v="1"/>
    <n v="31775"/>
  </r>
  <r>
    <n v="222"/>
    <d v="2018-08-10T00:00:00"/>
    <n v="3"/>
    <x v="0"/>
    <x v="7"/>
    <n v="0"/>
    <n v="3"/>
    <n v="1"/>
    <n v="1"/>
    <n v="31433347"/>
  </r>
  <r>
    <n v="223"/>
    <d v="2018-08-11T00:00:00"/>
    <n v="3"/>
    <x v="0"/>
    <x v="7"/>
    <n v="0"/>
    <n v="4"/>
    <n v="1"/>
    <n v="1"/>
    <n v="294175"/>
  </r>
  <r>
    <n v="224"/>
    <d v="2018-08-12T00:00:00"/>
    <n v="3"/>
    <x v="0"/>
    <x v="7"/>
    <n v="0"/>
    <n v="5"/>
    <n v="1"/>
    <n v="1"/>
    <n v="29041653"/>
  </r>
  <r>
    <n v="225"/>
    <d v="2018-08-13T00:00:00"/>
    <n v="3"/>
    <x v="0"/>
    <x v="7"/>
    <n v="0"/>
    <n v="6"/>
    <n v="0"/>
    <n v="2"/>
    <n v="28119153"/>
  </r>
  <r>
    <n v="226"/>
    <d v="2018-08-14T00:00:00"/>
    <n v="3"/>
    <x v="0"/>
    <x v="7"/>
    <n v="0"/>
    <n v="0"/>
    <n v="0"/>
    <n v="2"/>
    <n v="27743347"/>
  </r>
  <r>
    <n v="227"/>
    <d v="2018-08-15T00:00:00"/>
    <n v="3"/>
    <x v="0"/>
    <x v="7"/>
    <n v="0"/>
    <n v="1"/>
    <n v="1"/>
    <n v="1"/>
    <n v="27299153"/>
  </r>
  <r>
    <n v="228"/>
    <d v="2018-08-16T00:00:00"/>
    <n v="3"/>
    <x v="0"/>
    <x v="7"/>
    <n v="0"/>
    <n v="2"/>
    <n v="1"/>
    <n v="1"/>
    <n v="28734153"/>
  </r>
  <r>
    <n v="229"/>
    <d v="2018-08-17T00:00:00"/>
    <n v="3"/>
    <x v="0"/>
    <x v="7"/>
    <n v="0"/>
    <n v="3"/>
    <n v="1"/>
    <n v="1"/>
    <n v="29656653"/>
  </r>
  <r>
    <n v="230"/>
    <d v="2018-08-18T00:00:00"/>
    <n v="3"/>
    <x v="0"/>
    <x v="7"/>
    <n v="0"/>
    <n v="4"/>
    <n v="1"/>
    <n v="1"/>
    <n v="29178347"/>
  </r>
  <r>
    <n v="231"/>
    <d v="2018-08-19T00:00:00"/>
    <n v="3"/>
    <x v="0"/>
    <x v="7"/>
    <n v="0"/>
    <n v="5"/>
    <n v="1"/>
    <n v="2"/>
    <n v="28085"/>
  </r>
  <r>
    <n v="232"/>
    <d v="2018-08-20T00:00:00"/>
    <n v="3"/>
    <x v="0"/>
    <x v="7"/>
    <n v="0"/>
    <n v="6"/>
    <n v="0"/>
    <n v="1"/>
    <n v="285975"/>
  </r>
  <r>
    <n v="233"/>
    <d v="2018-08-21T00:00:00"/>
    <n v="3"/>
    <x v="0"/>
    <x v="7"/>
    <n v="0"/>
    <n v="0"/>
    <n v="0"/>
    <n v="1"/>
    <n v="29144153"/>
  </r>
  <r>
    <n v="234"/>
    <d v="2018-08-22T00:00:00"/>
    <n v="3"/>
    <x v="0"/>
    <x v="7"/>
    <n v="0"/>
    <n v="1"/>
    <n v="1"/>
    <n v="1"/>
    <n v="28358347"/>
  </r>
  <r>
    <n v="235"/>
    <d v="2018-08-23T00:00:00"/>
    <n v="3"/>
    <x v="0"/>
    <x v="7"/>
    <n v="0"/>
    <n v="2"/>
    <n v="1"/>
    <n v="1"/>
    <n v="26274153"/>
  </r>
  <r>
    <n v="236"/>
    <d v="2018-08-24T00:00:00"/>
    <n v="3"/>
    <x v="0"/>
    <x v="7"/>
    <n v="0"/>
    <n v="3"/>
    <n v="1"/>
    <n v="1"/>
    <n v="27606653"/>
  </r>
  <r>
    <n v="237"/>
    <d v="2018-08-25T00:00:00"/>
    <n v="3"/>
    <x v="0"/>
    <x v="7"/>
    <n v="0"/>
    <n v="4"/>
    <n v="1"/>
    <n v="2"/>
    <n v="28050847"/>
  </r>
  <r>
    <n v="238"/>
    <d v="2018-08-26T00:00:00"/>
    <n v="3"/>
    <x v="0"/>
    <x v="7"/>
    <n v="0"/>
    <n v="5"/>
    <n v="1"/>
    <n v="1"/>
    <s v="28.7"/>
  </r>
  <r>
    <n v="239"/>
    <d v="2018-08-27T00:00:00"/>
    <n v="3"/>
    <x v="0"/>
    <x v="7"/>
    <n v="0"/>
    <n v="6"/>
    <n v="0"/>
    <n v="2"/>
    <s v="27.88"/>
  </r>
  <r>
    <n v="240"/>
    <d v="2018-08-28T00:00:00"/>
    <n v="3"/>
    <x v="0"/>
    <x v="7"/>
    <n v="0"/>
    <n v="0"/>
    <n v="0"/>
    <n v="1"/>
    <n v="28989419"/>
  </r>
  <r>
    <n v="241"/>
    <d v="2018-08-29T00:00:00"/>
    <n v="3"/>
    <x v="0"/>
    <x v="7"/>
    <n v="0"/>
    <n v="1"/>
    <n v="1"/>
    <n v="1"/>
    <n v="26103347"/>
  </r>
  <r>
    <n v="242"/>
    <d v="2018-08-30T00:00:00"/>
    <n v="3"/>
    <x v="0"/>
    <x v="7"/>
    <n v="0"/>
    <n v="2"/>
    <n v="1"/>
    <n v="1"/>
    <n v="26205847"/>
  </r>
  <r>
    <n v="243"/>
    <d v="2018-08-31T00:00:00"/>
    <n v="3"/>
    <x v="0"/>
    <x v="7"/>
    <n v="0"/>
    <n v="3"/>
    <n v="1"/>
    <n v="1"/>
    <n v="26923347"/>
  </r>
  <r>
    <n v="244"/>
    <d v="2018-09-01T00:00:00"/>
    <n v="3"/>
    <x v="0"/>
    <x v="8"/>
    <n v="0"/>
    <n v="4"/>
    <n v="1"/>
    <n v="1"/>
    <n v="26855"/>
  </r>
  <r>
    <n v="245"/>
    <d v="2018-09-02T00:00:00"/>
    <n v="3"/>
    <x v="0"/>
    <x v="8"/>
    <n v="0"/>
    <n v="5"/>
    <n v="1"/>
    <n v="2"/>
    <n v="26376653"/>
  </r>
  <r>
    <n v="246"/>
    <d v="2018-09-03T00:00:00"/>
    <n v="3"/>
    <x v="0"/>
    <x v="8"/>
    <n v="0"/>
    <n v="6"/>
    <n v="0"/>
    <n v="1"/>
    <n v="27435847"/>
  </r>
  <r>
    <n v="247"/>
    <d v="2018-09-04T00:00:00"/>
    <n v="3"/>
    <x v="0"/>
    <x v="8"/>
    <n v="0"/>
    <n v="0"/>
    <n v="0"/>
    <n v="1"/>
    <n v="29075847"/>
  </r>
  <r>
    <n v="248"/>
    <d v="2018-09-05T00:00:00"/>
    <n v="3"/>
    <x v="0"/>
    <x v="8"/>
    <n v="1"/>
    <n v="1"/>
    <n v="0"/>
    <n v="2"/>
    <n v="27606653"/>
  </r>
  <r>
    <n v="249"/>
    <d v="2018-09-06T00:00:00"/>
    <n v="3"/>
    <x v="0"/>
    <x v="8"/>
    <n v="0"/>
    <n v="2"/>
    <n v="1"/>
    <n v="3"/>
    <s v="22.14"/>
  </r>
  <r>
    <n v="250"/>
    <d v="2018-09-07T00:00:00"/>
    <n v="3"/>
    <x v="0"/>
    <x v="8"/>
    <n v="0"/>
    <n v="3"/>
    <n v="1"/>
    <n v="3"/>
    <n v="24565847"/>
  </r>
  <r>
    <n v="251"/>
    <d v="2018-09-08T00:00:00"/>
    <n v="3"/>
    <x v="0"/>
    <x v="8"/>
    <n v="0"/>
    <n v="4"/>
    <n v="1"/>
    <n v="3"/>
    <n v="25990433"/>
  </r>
  <r>
    <n v="252"/>
    <d v="2018-09-09T00:00:00"/>
    <n v="3"/>
    <x v="0"/>
    <x v="8"/>
    <n v="0"/>
    <n v="5"/>
    <n v="1"/>
    <n v="2"/>
    <s v="26.65"/>
  </r>
  <r>
    <n v="253"/>
    <d v="2018-09-10T00:00:00"/>
    <n v="3"/>
    <x v="0"/>
    <x v="8"/>
    <n v="0"/>
    <n v="6"/>
    <n v="0"/>
    <n v="1"/>
    <s v="27.06"/>
  </r>
  <r>
    <n v="254"/>
    <d v="2018-09-11T00:00:00"/>
    <n v="3"/>
    <x v="0"/>
    <x v="8"/>
    <n v="0"/>
    <n v="0"/>
    <n v="0"/>
    <n v="1"/>
    <n v="26786653"/>
  </r>
  <r>
    <n v="255"/>
    <d v="2018-09-12T00:00:00"/>
    <n v="3"/>
    <x v="0"/>
    <x v="8"/>
    <n v="0"/>
    <n v="1"/>
    <n v="1"/>
    <n v="1"/>
    <n v="26418268"/>
  </r>
  <r>
    <n v="256"/>
    <d v="2018-09-13T00:00:00"/>
    <n v="3"/>
    <x v="0"/>
    <x v="8"/>
    <n v="0"/>
    <n v="2"/>
    <n v="1"/>
    <n v="1"/>
    <n v="26684153"/>
  </r>
  <r>
    <n v="257"/>
    <d v="2018-09-14T00:00:00"/>
    <n v="3"/>
    <x v="0"/>
    <x v="8"/>
    <n v="0"/>
    <n v="3"/>
    <n v="1"/>
    <n v="1"/>
    <n v="27606653"/>
  </r>
  <r>
    <n v="258"/>
    <d v="2018-09-15T00:00:00"/>
    <n v="3"/>
    <x v="0"/>
    <x v="8"/>
    <n v="0"/>
    <n v="4"/>
    <n v="1"/>
    <n v="2"/>
    <n v="236775"/>
  </r>
  <r>
    <n v="259"/>
    <d v="2018-09-16T00:00:00"/>
    <n v="3"/>
    <x v="0"/>
    <x v="8"/>
    <n v="0"/>
    <n v="5"/>
    <n v="1"/>
    <n v="2"/>
    <n v="19235847"/>
  </r>
  <r>
    <n v="260"/>
    <d v="2018-09-17T00:00:00"/>
    <n v="3"/>
    <x v="0"/>
    <x v="8"/>
    <n v="0"/>
    <n v="6"/>
    <n v="0"/>
    <n v="2"/>
    <n v="20158347"/>
  </r>
  <r>
    <n v="261"/>
    <d v="2018-09-18T00:00:00"/>
    <n v="3"/>
    <x v="0"/>
    <x v="8"/>
    <n v="0"/>
    <n v="0"/>
    <n v="0"/>
    <n v="1"/>
    <n v="208075"/>
  </r>
  <r>
    <n v="262"/>
    <d v="2018-09-19T00:00:00"/>
    <n v="3"/>
    <x v="0"/>
    <x v="8"/>
    <n v="0"/>
    <n v="1"/>
    <n v="1"/>
    <n v="2"/>
    <n v="22515847"/>
  </r>
  <r>
    <n v="263"/>
    <d v="2018-09-20T00:00:00"/>
    <n v="3"/>
    <x v="0"/>
    <x v="8"/>
    <n v="0"/>
    <n v="2"/>
    <n v="1"/>
    <n v="2"/>
    <n v="23028347"/>
  </r>
  <r>
    <n v="264"/>
    <d v="2018-09-21T00:00:00"/>
    <n v="3"/>
    <x v="0"/>
    <x v="8"/>
    <n v="0"/>
    <n v="3"/>
    <n v="1"/>
    <n v="2"/>
    <n v="24395"/>
  </r>
  <r>
    <n v="265"/>
    <d v="2018-09-22T00:00:00"/>
    <n v="3"/>
    <x v="0"/>
    <x v="8"/>
    <n v="0"/>
    <n v="4"/>
    <n v="1"/>
    <n v="2"/>
    <n v="25761653"/>
  </r>
  <r>
    <n v="266"/>
    <d v="2018-09-23T00:00:00"/>
    <n v="4"/>
    <x v="0"/>
    <x v="8"/>
    <n v="0"/>
    <n v="5"/>
    <n v="1"/>
    <n v="2"/>
    <n v="24975847"/>
  </r>
  <r>
    <n v="267"/>
    <d v="2018-09-24T00:00:00"/>
    <n v="4"/>
    <x v="0"/>
    <x v="8"/>
    <n v="0"/>
    <n v="6"/>
    <n v="0"/>
    <n v="2"/>
    <n v="24873347"/>
  </r>
  <r>
    <n v="268"/>
    <d v="2018-09-25T00:00:00"/>
    <n v="4"/>
    <x v="0"/>
    <x v="8"/>
    <n v="0"/>
    <n v="0"/>
    <n v="0"/>
    <n v="2"/>
    <n v="26000847"/>
  </r>
  <r>
    <n v="269"/>
    <d v="2018-09-26T00:00:00"/>
    <n v="4"/>
    <x v="0"/>
    <x v="8"/>
    <n v="0"/>
    <n v="1"/>
    <n v="1"/>
    <n v="2"/>
    <n v="26615847"/>
  </r>
  <r>
    <n v="270"/>
    <d v="2018-09-27T00:00:00"/>
    <n v="4"/>
    <x v="0"/>
    <x v="8"/>
    <n v="0"/>
    <n v="2"/>
    <n v="1"/>
    <n v="2"/>
    <n v="26103347"/>
  </r>
  <r>
    <n v="271"/>
    <d v="2018-09-28T00:00:00"/>
    <n v="4"/>
    <x v="0"/>
    <x v="8"/>
    <n v="0"/>
    <n v="3"/>
    <n v="1"/>
    <n v="2"/>
    <n v="26035"/>
  </r>
  <r>
    <n v="272"/>
    <d v="2018-09-29T00:00:00"/>
    <n v="4"/>
    <x v="0"/>
    <x v="8"/>
    <n v="0"/>
    <n v="4"/>
    <n v="1"/>
    <n v="1"/>
    <n v="25283347"/>
  </r>
  <r>
    <n v="273"/>
    <d v="2018-09-30T00:00:00"/>
    <n v="4"/>
    <x v="0"/>
    <x v="8"/>
    <n v="0"/>
    <n v="5"/>
    <n v="1"/>
    <n v="1"/>
    <n v="23130847"/>
  </r>
  <r>
    <n v="274"/>
    <d v="2018-10-01T00:00:00"/>
    <n v="4"/>
    <x v="0"/>
    <x v="9"/>
    <n v="0"/>
    <n v="6"/>
    <n v="0"/>
    <n v="2"/>
    <s v="16.81"/>
  </r>
  <r>
    <n v="275"/>
    <d v="2018-10-02T00:00:00"/>
    <n v="4"/>
    <x v="0"/>
    <x v="9"/>
    <n v="0"/>
    <n v="0"/>
    <n v="0"/>
    <n v="2"/>
    <n v="14623347"/>
  </r>
  <r>
    <n v="276"/>
    <d v="2018-10-03T00:00:00"/>
    <n v="4"/>
    <x v="0"/>
    <x v="9"/>
    <n v="0"/>
    <n v="1"/>
    <n v="1"/>
    <n v="2"/>
    <n v="15750847"/>
  </r>
  <r>
    <n v="277"/>
    <d v="2018-10-04T00:00:00"/>
    <n v="4"/>
    <x v="0"/>
    <x v="9"/>
    <n v="0"/>
    <n v="2"/>
    <n v="1"/>
    <n v="1"/>
    <n v="19850847"/>
  </r>
  <r>
    <n v="278"/>
    <d v="2018-10-05T00:00:00"/>
    <n v="4"/>
    <x v="0"/>
    <x v="9"/>
    <n v="0"/>
    <n v="3"/>
    <n v="1"/>
    <n v="1"/>
    <n v="22071653"/>
  </r>
  <r>
    <n v="279"/>
    <d v="2018-10-06T00:00:00"/>
    <n v="4"/>
    <x v="0"/>
    <x v="9"/>
    <n v="0"/>
    <n v="4"/>
    <n v="1"/>
    <n v="1"/>
    <n v="20260847"/>
  </r>
  <r>
    <n v="280"/>
    <d v="2018-10-07T00:00:00"/>
    <n v="4"/>
    <x v="0"/>
    <x v="9"/>
    <n v="0"/>
    <n v="5"/>
    <n v="1"/>
    <n v="1"/>
    <n v="20944153"/>
  </r>
  <r>
    <n v="281"/>
    <d v="2018-10-08T00:00:00"/>
    <n v="4"/>
    <x v="0"/>
    <x v="9"/>
    <n v="0"/>
    <n v="6"/>
    <n v="0"/>
    <n v="1"/>
    <n v="21388347"/>
  </r>
  <r>
    <n v="282"/>
    <d v="2018-10-09T00:00:00"/>
    <n v="4"/>
    <x v="0"/>
    <x v="9"/>
    <n v="0"/>
    <n v="0"/>
    <n v="0"/>
    <n v="1"/>
    <n v="22174153"/>
  </r>
  <r>
    <n v="283"/>
    <d v="2018-10-10T00:00:00"/>
    <n v="4"/>
    <x v="0"/>
    <x v="9"/>
    <n v="1"/>
    <n v="1"/>
    <n v="0"/>
    <n v="1"/>
    <n v="23404153"/>
  </r>
  <r>
    <n v="284"/>
    <d v="2018-10-11T00:00:00"/>
    <n v="4"/>
    <x v="0"/>
    <x v="9"/>
    <n v="0"/>
    <n v="2"/>
    <n v="1"/>
    <n v="2"/>
    <n v="23233347"/>
  </r>
  <r>
    <n v="285"/>
    <d v="2018-10-12T00:00:00"/>
    <n v="4"/>
    <x v="0"/>
    <x v="9"/>
    <n v="0"/>
    <n v="3"/>
    <n v="1"/>
    <n v="3"/>
    <n v="22276653"/>
  </r>
  <r>
    <n v="286"/>
    <d v="2018-10-13T00:00:00"/>
    <n v="4"/>
    <x v="0"/>
    <x v="9"/>
    <n v="0"/>
    <n v="4"/>
    <n v="1"/>
    <n v="2"/>
    <n v="24155847"/>
  </r>
  <r>
    <n v="287"/>
    <d v="2018-10-14T00:00:00"/>
    <n v="4"/>
    <x v="0"/>
    <x v="9"/>
    <n v="0"/>
    <n v="5"/>
    <n v="1"/>
    <n v="2"/>
    <n v="22584153"/>
  </r>
  <r>
    <n v="288"/>
    <d v="2018-10-15T00:00:00"/>
    <n v="4"/>
    <x v="0"/>
    <x v="9"/>
    <n v="0"/>
    <n v="6"/>
    <n v="0"/>
    <n v="1"/>
    <n v="20773347"/>
  </r>
  <r>
    <n v="289"/>
    <d v="2018-10-16T00:00:00"/>
    <n v="4"/>
    <x v="0"/>
    <x v="9"/>
    <n v="0"/>
    <n v="0"/>
    <n v="0"/>
    <n v="1"/>
    <n v="20978347"/>
  </r>
  <r>
    <n v="290"/>
    <d v="2018-10-17T00:00:00"/>
    <n v="4"/>
    <x v="0"/>
    <x v="9"/>
    <n v="0"/>
    <n v="1"/>
    <n v="1"/>
    <n v="1"/>
    <n v="21900847"/>
  </r>
  <r>
    <n v="291"/>
    <d v="2018-10-18T00:00:00"/>
    <n v="4"/>
    <x v="0"/>
    <x v="9"/>
    <n v="0"/>
    <n v="2"/>
    <n v="1"/>
    <n v="2"/>
    <n v="218325"/>
  </r>
  <r>
    <n v="292"/>
    <d v="2018-10-19T00:00:00"/>
    <n v="4"/>
    <x v="0"/>
    <x v="9"/>
    <n v="0"/>
    <n v="3"/>
    <n v="1"/>
    <n v="3"/>
    <n v="22211299"/>
  </r>
  <r>
    <n v="293"/>
    <d v="2018-10-20T00:00:00"/>
    <n v="4"/>
    <x v="0"/>
    <x v="9"/>
    <n v="0"/>
    <n v="4"/>
    <n v="1"/>
    <n v="1"/>
    <n v="19509153"/>
  </r>
  <r>
    <n v="294"/>
    <d v="2018-10-21T00:00:00"/>
    <n v="4"/>
    <x v="0"/>
    <x v="9"/>
    <n v="0"/>
    <n v="5"/>
    <n v="1"/>
    <n v="1"/>
    <n v="175275"/>
  </r>
  <r>
    <n v="295"/>
    <d v="2018-10-22T00:00:00"/>
    <n v="4"/>
    <x v="0"/>
    <x v="9"/>
    <n v="0"/>
    <n v="6"/>
    <n v="0"/>
    <n v="1"/>
    <n v="173225"/>
  </r>
  <r>
    <n v="296"/>
    <d v="2018-10-23T00:00:00"/>
    <n v="4"/>
    <x v="0"/>
    <x v="9"/>
    <n v="0"/>
    <n v="0"/>
    <n v="0"/>
    <n v="1"/>
    <n v="17288347"/>
  </r>
  <r>
    <n v="297"/>
    <d v="2018-10-24T00:00:00"/>
    <n v="4"/>
    <x v="0"/>
    <x v="9"/>
    <n v="0"/>
    <n v="1"/>
    <n v="1"/>
    <n v="1"/>
    <n v="18996653"/>
  </r>
  <r>
    <n v="298"/>
    <d v="2018-10-25T00:00:00"/>
    <n v="4"/>
    <x v="0"/>
    <x v="9"/>
    <n v="0"/>
    <n v="2"/>
    <n v="1"/>
    <n v="1"/>
    <n v="19338347"/>
  </r>
  <r>
    <n v="299"/>
    <d v="2018-10-26T00:00:00"/>
    <n v="4"/>
    <x v="0"/>
    <x v="9"/>
    <n v="0"/>
    <n v="3"/>
    <n v="1"/>
    <n v="2"/>
    <n v="19850847"/>
  </r>
  <r>
    <n v="300"/>
    <d v="2018-10-27T00:00:00"/>
    <n v="4"/>
    <x v="0"/>
    <x v="9"/>
    <n v="0"/>
    <n v="4"/>
    <n v="1"/>
    <n v="2"/>
    <s v="19.27"/>
  </r>
  <r>
    <n v="301"/>
    <d v="2018-10-28T00:00:00"/>
    <n v="4"/>
    <x v="0"/>
    <x v="9"/>
    <n v="0"/>
    <n v="5"/>
    <n v="1"/>
    <n v="2"/>
    <n v="13564153"/>
  </r>
  <r>
    <n v="302"/>
    <d v="2018-10-29T00:00:00"/>
    <n v="4"/>
    <x v="0"/>
    <x v="9"/>
    <n v="0"/>
    <n v="6"/>
    <n v="0"/>
    <n v="3"/>
    <n v="10420847"/>
  </r>
  <r>
    <n v="303"/>
    <d v="2018-10-30T00:00:00"/>
    <n v="4"/>
    <x v="0"/>
    <x v="9"/>
    <n v="0"/>
    <n v="0"/>
    <n v="0"/>
    <n v="1"/>
    <n v="13085847"/>
  </r>
  <r>
    <n v="304"/>
    <d v="2018-10-31T00:00:00"/>
    <n v="4"/>
    <x v="0"/>
    <x v="9"/>
    <n v="0"/>
    <n v="1"/>
    <n v="1"/>
    <n v="1"/>
    <s v="13.94"/>
  </r>
  <r>
    <n v="305"/>
    <d v="2018-11-01T00:00:00"/>
    <n v="4"/>
    <x v="0"/>
    <x v="10"/>
    <n v="0"/>
    <n v="2"/>
    <n v="1"/>
    <n v="1"/>
    <n v="16434153"/>
  </r>
  <r>
    <n v="306"/>
    <d v="2018-11-02T00:00:00"/>
    <n v="4"/>
    <x v="0"/>
    <x v="10"/>
    <n v="0"/>
    <n v="3"/>
    <n v="1"/>
    <n v="1"/>
    <n v="154775"/>
  </r>
  <r>
    <n v="307"/>
    <d v="2018-11-03T00:00:00"/>
    <n v="4"/>
    <x v="0"/>
    <x v="10"/>
    <n v="0"/>
    <n v="4"/>
    <n v="1"/>
    <n v="1"/>
    <n v="16741653"/>
  </r>
  <r>
    <n v="308"/>
    <d v="2018-11-04T00:00:00"/>
    <n v="4"/>
    <x v="0"/>
    <x v="10"/>
    <n v="0"/>
    <n v="5"/>
    <n v="1"/>
    <n v="2"/>
    <n v="16536653"/>
  </r>
  <r>
    <n v="309"/>
    <d v="2018-11-05T00:00:00"/>
    <n v="4"/>
    <x v="0"/>
    <x v="10"/>
    <n v="0"/>
    <n v="6"/>
    <n v="0"/>
    <n v="1"/>
    <n v="13393347"/>
  </r>
  <r>
    <n v="310"/>
    <d v="2018-11-06T00:00:00"/>
    <n v="4"/>
    <x v="0"/>
    <x v="10"/>
    <n v="0"/>
    <n v="0"/>
    <n v="0"/>
    <n v="1"/>
    <n v="14281653"/>
  </r>
  <r>
    <n v="311"/>
    <d v="2018-11-07T00:00:00"/>
    <n v="4"/>
    <x v="0"/>
    <x v="10"/>
    <n v="0"/>
    <n v="1"/>
    <n v="1"/>
    <n v="1"/>
    <n v="16195"/>
  </r>
  <r>
    <n v="312"/>
    <d v="2018-11-08T00:00:00"/>
    <n v="4"/>
    <x v="0"/>
    <x v="10"/>
    <n v="0"/>
    <n v="2"/>
    <n v="1"/>
    <n v="1"/>
    <n v="16741653"/>
  </r>
  <r>
    <n v="313"/>
    <d v="2018-11-09T00:00:00"/>
    <n v="4"/>
    <x v="0"/>
    <x v="10"/>
    <n v="0"/>
    <n v="3"/>
    <n v="1"/>
    <n v="1"/>
    <s v="16.4"/>
  </r>
  <r>
    <n v="314"/>
    <d v="2018-11-10T00:00:00"/>
    <n v="4"/>
    <x v="0"/>
    <x v="10"/>
    <n v="0"/>
    <n v="4"/>
    <n v="1"/>
    <n v="2"/>
    <s v="15.58"/>
  </r>
  <r>
    <n v="315"/>
    <d v="2018-11-11T00:00:00"/>
    <n v="4"/>
    <x v="0"/>
    <x v="10"/>
    <n v="1"/>
    <n v="5"/>
    <n v="0"/>
    <n v="1"/>
    <n v="13290847"/>
  </r>
  <r>
    <n v="316"/>
    <d v="2018-11-12T00:00:00"/>
    <n v="4"/>
    <x v="0"/>
    <x v="10"/>
    <n v="0"/>
    <n v="6"/>
    <n v="0"/>
    <n v="1"/>
    <n v="14623347"/>
  </r>
  <r>
    <n v="317"/>
    <d v="2018-11-13T00:00:00"/>
    <n v="4"/>
    <x v="0"/>
    <x v="10"/>
    <n v="0"/>
    <n v="0"/>
    <n v="0"/>
    <n v="1"/>
    <n v="18074153"/>
  </r>
  <r>
    <n v="318"/>
    <d v="2018-11-14T00:00:00"/>
    <n v="4"/>
    <x v="0"/>
    <x v="10"/>
    <n v="0"/>
    <n v="1"/>
    <n v="1"/>
    <n v="1"/>
    <s v="21.73"/>
  </r>
  <r>
    <n v="319"/>
    <d v="2018-11-15T00:00:00"/>
    <n v="4"/>
    <x v="0"/>
    <x v="10"/>
    <n v="0"/>
    <n v="2"/>
    <n v="1"/>
    <n v="2"/>
    <s v="21.73"/>
  </r>
  <r>
    <n v="320"/>
    <d v="2018-11-16T00:00:00"/>
    <n v="4"/>
    <x v="0"/>
    <x v="10"/>
    <n v="0"/>
    <n v="3"/>
    <n v="1"/>
    <n v="3"/>
    <n v="18723347"/>
  </r>
  <r>
    <n v="321"/>
    <d v="2018-11-17T00:00:00"/>
    <n v="4"/>
    <x v="0"/>
    <x v="10"/>
    <n v="0"/>
    <n v="4"/>
    <n v="1"/>
    <n v="2"/>
    <n v="14008347"/>
  </r>
  <r>
    <n v="322"/>
    <d v="2018-11-18T00:00:00"/>
    <n v="4"/>
    <x v="0"/>
    <x v="10"/>
    <n v="0"/>
    <n v="5"/>
    <n v="1"/>
    <n v="1"/>
    <n v="11240847"/>
  </r>
  <r>
    <n v="323"/>
    <d v="2018-11-19T00:00:00"/>
    <n v="4"/>
    <x v="0"/>
    <x v="10"/>
    <n v="0"/>
    <n v="6"/>
    <n v="0"/>
    <n v="1"/>
    <n v="13495847"/>
  </r>
  <r>
    <n v="324"/>
    <d v="2018-11-20T00:00:00"/>
    <n v="4"/>
    <x v="0"/>
    <x v="10"/>
    <n v="0"/>
    <n v="0"/>
    <n v="0"/>
    <n v="2"/>
    <n v="18996653"/>
  </r>
  <r>
    <n v="325"/>
    <d v="2018-11-21T00:00:00"/>
    <n v="4"/>
    <x v="0"/>
    <x v="10"/>
    <n v="0"/>
    <n v="1"/>
    <n v="1"/>
    <n v="3"/>
    <n v="183475"/>
  </r>
  <r>
    <n v="326"/>
    <d v="2018-11-22T00:00:00"/>
    <n v="4"/>
    <x v="0"/>
    <x v="10"/>
    <n v="0"/>
    <n v="2"/>
    <n v="1"/>
    <n v="3"/>
    <n v="17083347"/>
  </r>
  <r>
    <n v="327"/>
    <d v="2018-11-23T00:00:00"/>
    <n v="4"/>
    <x v="0"/>
    <x v="10"/>
    <n v="0"/>
    <n v="3"/>
    <n v="1"/>
    <n v="2"/>
    <n v="18074153"/>
  </r>
  <r>
    <n v="328"/>
    <d v="2018-11-24T00:00:00"/>
    <n v="4"/>
    <x v="0"/>
    <x v="10"/>
    <n v="1"/>
    <n v="4"/>
    <n v="0"/>
    <n v="1"/>
    <n v="15306653"/>
  </r>
  <r>
    <n v="329"/>
    <d v="2018-11-25T00:00:00"/>
    <n v="4"/>
    <x v="0"/>
    <x v="10"/>
    <n v="0"/>
    <n v="5"/>
    <n v="1"/>
    <n v="1"/>
    <n v="15375"/>
  </r>
  <r>
    <n v="330"/>
    <d v="2018-11-26T00:00:00"/>
    <n v="4"/>
    <x v="0"/>
    <x v="10"/>
    <n v="0"/>
    <n v="6"/>
    <n v="0"/>
    <n v="1"/>
    <n v="15409153"/>
  </r>
  <r>
    <n v="331"/>
    <d v="2018-11-27T00:00:00"/>
    <n v="4"/>
    <x v="0"/>
    <x v="10"/>
    <n v="0"/>
    <n v="0"/>
    <n v="0"/>
    <n v="1"/>
    <n v="18825847"/>
  </r>
  <r>
    <n v="332"/>
    <d v="2018-11-28T00:00:00"/>
    <n v="4"/>
    <x v="0"/>
    <x v="10"/>
    <n v="0"/>
    <n v="1"/>
    <n v="1"/>
    <n v="1"/>
    <n v="20642598"/>
  </r>
  <r>
    <n v="333"/>
    <d v="2018-11-29T00:00:00"/>
    <n v="4"/>
    <x v="0"/>
    <x v="10"/>
    <n v="0"/>
    <n v="2"/>
    <n v="1"/>
    <n v="2"/>
    <n v="18791653"/>
  </r>
  <r>
    <n v="334"/>
    <d v="2018-11-30T00:00:00"/>
    <n v="4"/>
    <x v="0"/>
    <x v="10"/>
    <n v="0"/>
    <n v="3"/>
    <n v="1"/>
    <n v="1"/>
    <n v="13325"/>
  </r>
  <r>
    <n v="335"/>
    <d v="2018-12-01T00:00:00"/>
    <n v="4"/>
    <x v="0"/>
    <x v="11"/>
    <n v="0"/>
    <n v="4"/>
    <n v="1"/>
    <n v="1"/>
    <n v="128125"/>
  </r>
  <r>
    <n v="336"/>
    <d v="2018-12-02T00:00:00"/>
    <n v="4"/>
    <x v="0"/>
    <x v="11"/>
    <n v="0"/>
    <n v="5"/>
    <n v="1"/>
    <n v="1"/>
    <n v="12880847"/>
  </r>
  <r>
    <n v="337"/>
    <d v="2018-12-03T00:00:00"/>
    <n v="4"/>
    <x v="0"/>
    <x v="11"/>
    <n v="0"/>
    <n v="6"/>
    <n v="0"/>
    <n v="1"/>
    <n v="12265847"/>
  </r>
  <r>
    <n v="338"/>
    <d v="2018-12-04T00:00:00"/>
    <n v="4"/>
    <x v="0"/>
    <x v="11"/>
    <n v="0"/>
    <n v="0"/>
    <n v="0"/>
    <n v="1"/>
    <n v="13564153"/>
  </r>
  <r>
    <n v="339"/>
    <d v="2018-12-05T00:00:00"/>
    <n v="4"/>
    <x v="0"/>
    <x v="11"/>
    <n v="0"/>
    <n v="1"/>
    <n v="1"/>
    <n v="2"/>
    <n v="15819153"/>
  </r>
  <r>
    <n v="340"/>
    <d v="2018-12-06T00:00:00"/>
    <n v="4"/>
    <x v="0"/>
    <x v="11"/>
    <n v="0"/>
    <n v="2"/>
    <n v="1"/>
    <n v="3"/>
    <n v="189625"/>
  </r>
  <r>
    <n v="341"/>
    <d v="2018-12-07T00:00:00"/>
    <n v="4"/>
    <x v="0"/>
    <x v="11"/>
    <n v="0"/>
    <n v="3"/>
    <n v="1"/>
    <n v="3"/>
    <s v="16.81"/>
  </r>
  <r>
    <n v="342"/>
    <d v="2018-12-08T00:00:00"/>
    <n v="4"/>
    <x v="0"/>
    <x v="11"/>
    <n v="0"/>
    <n v="4"/>
    <n v="1"/>
    <n v="1"/>
    <n v="10899153"/>
  </r>
  <r>
    <n v="343"/>
    <d v="2018-12-09T00:00:00"/>
    <n v="4"/>
    <x v="0"/>
    <x v="11"/>
    <n v="0"/>
    <n v="5"/>
    <n v="1"/>
    <n v="1"/>
    <n v="11924153"/>
  </r>
  <r>
    <n v="344"/>
    <d v="2018-12-10T00:00:00"/>
    <n v="4"/>
    <x v="0"/>
    <x v="11"/>
    <n v="0"/>
    <n v="6"/>
    <n v="0"/>
    <n v="1"/>
    <n v="11275"/>
  </r>
  <r>
    <n v="345"/>
    <d v="2018-12-11T00:00:00"/>
    <n v="4"/>
    <x v="0"/>
    <x v="11"/>
    <n v="0"/>
    <n v="0"/>
    <n v="0"/>
    <n v="1"/>
    <n v="9054153"/>
  </r>
  <r>
    <n v="346"/>
    <d v="2018-12-12T00:00:00"/>
    <n v="4"/>
    <x v="0"/>
    <x v="11"/>
    <n v="0"/>
    <n v="1"/>
    <n v="1"/>
    <n v="1"/>
    <n v="9771653"/>
  </r>
  <r>
    <n v="347"/>
    <d v="2018-12-13T00:00:00"/>
    <n v="4"/>
    <x v="0"/>
    <x v="11"/>
    <n v="0"/>
    <n v="2"/>
    <n v="1"/>
    <n v="1"/>
    <n v="115825"/>
  </r>
  <r>
    <n v="348"/>
    <d v="2018-12-14T00:00:00"/>
    <n v="4"/>
    <x v="0"/>
    <x v="11"/>
    <n v="0"/>
    <n v="3"/>
    <n v="1"/>
    <n v="2"/>
    <n v="130175"/>
  </r>
  <r>
    <n v="349"/>
    <d v="2018-12-15T00:00:00"/>
    <n v="4"/>
    <x v="0"/>
    <x v="11"/>
    <n v="0"/>
    <n v="4"/>
    <n v="1"/>
    <n v="2"/>
    <n v="173225"/>
  </r>
  <r>
    <n v="350"/>
    <d v="2018-12-16T00:00:00"/>
    <n v="4"/>
    <x v="0"/>
    <x v="11"/>
    <n v="0"/>
    <n v="5"/>
    <n v="1"/>
    <n v="2"/>
    <n v="15375"/>
  </r>
  <r>
    <n v="351"/>
    <d v="2018-12-17T00:00:00"/>
    <n v="4"/>
    <x v="0"/>
    <x v="11"/>
    <n v="0"/>
    <n v="6"/>
    <n v="0"/>
    <n v="2"/>
    <n v="10591653"/>
  </r>
  <r>
    <n v="352"/>
    <d v="2018-12-18T00:00:00"/>
    <n v="4"/>
    <x v="0"/>
    <x v="11"/>
    <n v="0"/>
    <n v="0"/>
    <n v="0"/>
    <n v="1"/>
    <n v="9771653"/>
  </r>
  <r>
    <n v="353"/>
    <d v="2018-12-19T00:00:00"/>
    <n v="4"/>
    <x v="0"/>
    <x v="11"/>
    <n v="0"/>
    <n v="1"/>
    <n v="1"/>
    <n v="1"/>
    <n v="11343347"/>
  </r>
  <r>
    <n v="354"/>
    <d v="2018-12-20T00:00:00"/>
    <n v="4"/>
    <x v="0"/>
    <x v="11"/>
    <n v="0"/>
    <n v="2"/>
    <n v="1"/>
    <n v="2"/>
    <n v="15819153"/>
  </r>
  <r>
    <n v="355"/>
    <d v="2018-12-21T00:00:00"/>
    <n v="1"/>
    <x v="0"/>
    <x v="11"/>
    <n v="0"/>
    <n v="3"/>
    <n v="1"/>
    <n v="2"/>
    <n v="17561653"/>
  </r>
  <r>
    <n v="356"/>
    <d v="2018-12-22T00:00:00"/>
    <n v="1"/>
    <x v="0"/>
    <x v="11"/>
    <n v="0"/>
    <n v="4"/>
    <n v="1"/>
    <n v="2"/>
    <n v="17356653"/>
  </r>
  <r>
    <n v="357"/>
    <d v="2018-12-23T00:00:00"/>
    <n v="1"/>
    <x v="0"/>
    <x v="11"/>
    <n v="0"/>
    <n v="5"/>
    <n v="1"/>
    <n v="1"/>
    <n v="15306653"/>
  </r>
  <r>
    <n v="358"/>
    <d v="2018-12-24T00:00:00"/>
    <n v="1"/>
    <x v="0"/>
    <x v="11"/>
    <n v="0"/>
    <n v="6"/>
    <n v="0"/>
    <n v="1"/>
    <n v="124025"/>
  </r>
  <r>
    <n v="359"/>
    <d v="2018-12-25T00:00:00"/>
    <n v="1"/>
    <x v="0"/>
    <x v="11"/>
    <n v="0"/>
    <n v="0"/>
    <n v="0"/>
    <n v="1"/>
    <n v="11266103"/>
  </r>
  <r>
    <n v="360"/>
    <d v="2018-12-26T00:00:00"/>
    <n v="1"/>
    <x v="0"/>
    <x v="11"/>
    <n v="1"/>
    <n v="1"/>
    <n v="0"/>
    <n v="1"/>
    <n v="13191299"/>
  </r>
  <r>
    <n v="361"/>
    <d v="2018-12-27T00:00:00"/>
    <n v="1"/>
    <x v="0"/>
    <x v="11"/>
    <n v="0"/>
    <n v="2"/>
    <n v="1"/>
    <n v="2"/>
    <n v="13325"/>
  </r>
  <r>
    <n v="362"/>
    <d v="2018-12-28T00:00:00"/>
    <n v="1"/>
    <x v="0"/>
    <x v="11"/>
    <n v="0"/>
    <n v="3"/>
    <n v="1"/>
    <n v="1"/>
    <n v="1226433"/>
  </r>
  <r>
    <n v="363"/>
    <d v="2018-12-29T00:00:00"/>
    <n v="1"/>
    <x v="0"/>
    <x v="11"/>
    <n v="0"/>
    <n v="4"/>
    <n v="1"/>
    <n v="1"/>
    <n v="10181653"/>
  </r>
  <r>
    <n v="364"/>
    <d v="2018-12-30T00:00:00"/>
    <n v="1"/>
    <x v="0"/>
    <x v="11"/>
    <n v="0"/>
    <n v="5"/>
    <n v="1"/>
    <n v="1"/>
    <n v="12778347"/>
  </r>
  <r>
    <n v="365"/>
    <d v="2018-12-31T00:00:00"/>
    <n v="1"/>
    <x v="0"/>
    <x v="11"/>
    <n v="0"/>
    <n v="6"/>
    <n v="0"/>
    <n v="1"/>
    <s v="16.81"/>
  </r>
  <r>
    <n v="366"/>
    <d v="2019-01-01T00:00:00"/>
    <n v="1"/>
    <x v="1"/>
    <x v="0"/>
    <n v="0"/>
    <n v="0"/>
    <n v="0"/>
    <n v="1"/>
    <s v="15.17"/>
  </r>
  <r>
    <n v="367"/>
    <d v="2019-01-02T00:00:00"/>
    <n v="1"/>
    <x v="1"/>
    <x v="0"/>
    <n v="1"/>
    <n v="1"/>
    <n v="0"/>
    <n v="1"/>
    <n v="11194763"/>
  </r>
  <r>
    <n v="368"/>
    <d v="2019-01-03T00:00:00"/>
    <n v="1"/>
    <x v="1"/>
    <x v="0"/>
    <n v="0"/>
    <n v="2"/>
    <n v="1"/>
    <n v="1"/>
    <s v="6.15"/>
  </r>
  <r>
    <n v="369"/>
    <d v="2019-01-04T00:00:00"/>
    <n v="1"/>
    <x v="1"/>
    <x v="0"/>
    <n v="0"/>
    <n v="3"/>
    <n v="1"/>
    <n v="2"/>
    <n v="44075"/>
  </r>
  <r>
    <n v="370"/>
    <d v="2019-01-05T00:00:00"/>
    <n v="1"/>
    <x v="1"/>
    <x v="0"/>
    <n v="0"/>
    <n v="4"/>
    <n v="1"/>
    <n v="1"/>
    <n v="10899153"/>
  </r>
  <r>
    <n v="371"/>
    <d v="2019-01-06T00:00:00"/>
    <n v="1"/>
    <x v="1"/>
    <x v="0"/>
    <n v="0"/>
    <n v="5"/>
    <n v="1"/>
    <n v="1"/>
    <n v="13700847"/>
  </r>
  <r>
    <n v="372"/>
    <d v="2019-01-07T00:00:00"/>
    <n v="1"/>
    <x v="1"/>
    <x v="0"/>
    <n v="0"/>
    <n v="6"/>
    <n v="0"/>
    <n v="1"/>
    <n v="16126653"/>
  </r>
  <r>
    <n v="373"/>
    <d v="2019-01-08T00:00:00"/>
    <n v="1"/>
    <x v="1"/>
    <x v="0"/>
    <n v="0"/>
    <n v="0"/>
    <n v="0"/>
    <n v="1"/>
    <n v="138375"/>
  </r>
  <r>
    <n v="374"/>
    <d v="2019-01-09T00:00:00"/>
    <n v="1"/>
    <x v="1"/>
    <x v="0"/>
    <n v="0"/>
    <n v="1"/>
    <n v="1"/>
    <n v="2"/>
    <n v="9190847"/>
  </r>
  <r>
    <n v="375"/>
    <d v="2019-01-10T00:00:00"/>
    <n v="1"/>
    <x v="1"/>
    <x v="0"/>
    <n v="0"/>
    <n v="2"/>
    <n v="1"/>
    <n v="1"/>
    <n v="12656536"/>
  </r>
  <r>
    <n v="376"/>
    <d v="2019-01-11T00:00:00"/>
    <n v="1"/>
    <x v="1"/>
    <x v="0"/>
    <n v="0"/>
    <n v="3"/>
    <n v="1"/>
    <n v="2"/>
    <n v="11240847"/>
  </r>
  <r>
    <n v="377"/>
    <d v="2019-01-12T00:00:00"/>
    <n v="1"/>
    <x v="1"/>
    <x v="0"/>
    <n v="0"/>
    <n v="4"/>
    <n v="1"/>
    <n v="2"/>
    <n v="156825"/>
  </r>
  <r>
    <n v="378"/>
    <d v="2019-01-13T00:00:00"/>
    <n v="1"/>
    <x v="1"/>
    <x v="0"/>
    <n v="0"/>
    <n v="5"/>
    <n v="1"/>
    <n v="1"/>
    <n v="11240847"/>
  </r>
  <r>
    <n v="379"/>
    <d v="2019-01-14T00:00:00"/>
    <n v="1"/>
    <x v="1"/>
    <x v="0"/>
    <n v="0"/>
    <n v="6"/>
    <n v="0"/>
    <n v="1"/>
    <s v="7.38"/>
  </r>
  <r>
    <n v="380"/>
    <d v="2019-01-15T00:00:00"/>
    <n v="1"/>
    <x v="1"/>
    <x v="0"/>
    <n v="0"/>
    <n v="0"/>
    <n v="0"/>
    <n v="1"/>
    <n v="6833347"/>
  </r>
  <r>
    <n v="381"/>
    <d v="2019-01-16T00:00:00"/>
    <n v="1"/>
    <x v="1"/>
    <x v="0"/>
    <n v="1"/>
    <n v="1"/>
    <n v="0"/>
    <n v="1"/>
    <s v="7.79"/>
  </r>
  <r>
    <n v="382"/>
    <d v="2019-01-17T00:00:00"/>
    <n v="1"/>
    <x v="1"/>
    <x v="0"/>
    <n v="0"/>
    <n v="2"/>
    <n v="1"/>
    <n v="2"/>
    <n v="15294763"/>
  </r>
  <r>
    <n v="383"/>
    <d v="2019-01-18T00:00:00"/>
    <n v="1"/>
    <x v="1"/>
    <x v="0"/>
    <n v="0"/>
    <n v="3"/>
    <n v="1"/>
    <n v="1"/>
    <n v="12436653"/>
  </r>
  <r>
    <n v="384"/>
    <d v="2019-01-19T00:00:00"/>
    <n v="1"/>
    <x v="1"/>
    <x v="0"/>
    <n v="0"/>
    <n v="4"/>
    <n v="1"/>
    <n v="1"/>
    <s v="7.79"/>
  </r>
  <r>
    <n v="385"/>
    <d v="2019-01-20T00:00:00"/>
    <n v="1"/>
    <x v="1"/>
    <x v="0"/>
    <n v="0"/>
    <n v="5"/>
    <n v="1"/>
    <n v="2"/>
    <n v="89175"/>
  </r>
  <r>
    <n v="386"/>
    <d v="2019-01-21T00:00:00"/>
    <n v="1"/>
    <x v="1"/>
    <x v="0"/>
    <n v="0"/>
    <n v="6"/>
    <n v="0"/>
    <n v="2"/>
    <n v="7106653"/>
  </r>
  <r>
    <n v="387"/>
    <d v="2019-01-22T00:00:00"/>
    <n v="1"/>
    <x v="1"/>
    <x v="0"/>
    <n v="0"/>
    <n v="0"/>
    <n v="0"/>
    <n v="2"/>
    <n v="66625"/>
  </r>
  <r>
    <n v="388"/>
    <d v="2019-01-23T00:00:00"/>
    <n v="1"/>
    <x v="1"/>
    <x v="0"/>
    <n v="0"/>
    <n v="1"/>
    <n v="1"/>
    <n v="2"/>
    <n v="8951653"/>
  </r>
  <r>
    <n v="389"/>
    <d v="2019-01-24T00:00:00"/>
    <n v="1"/>
    <x v="1"/>
    <x v="0"/>
    <n v="0"/>
    <n v="2"/>
    <n v="1"/>
    <n v="1"/>
    <n v="140425"/>
  </r>
  <r>
    <n v="390"/>
    <d v="2019-01-25T00:00:00"/>
    <n v="1"/>
    <x v="1"/>
    <x v="0"/>
    <n v="0"/>
    <n v="3"/>
    <n v="1"/>
    <n v="1"/>
    <n v="12060847"/>
  </r>
  <r>
    <n v="391"/>
    <d v="2019-01-26T00:00:00"/>
    <n v="1"/>
    <x v="1"/>
    <x v="0"/>
    <n v="0"/>
    <n v="4"/>
    <n v="1"/>
    <n v="2"/>
    <n v="14008347"/>
  </r>
  <r>
    <n v="392"/>
    <d v="2019-01-27T00:00:00"/>
    <n v="1"/>
    <x v="1"/>
    <x v="0"/>
    <n v="0"/>
    <n v="5"/>
    <n v="1"/>
    <n v="2"/>
    <n v="17425"/>
  </r>
  <r>
    <n v="393"/>
    <d v="2019-01-28T00:00:00"/>
    <n v="1"/>
    <x v="1"/>
    <x v="0"/>
    <n v="0"/>
    <n v="6"/>
    <n v="0"/>
    <n v="1"/>
    <n v="12949153"/>
  </r>
  <r>
    <n v="394"/>
    <d v="2019-01-29T00:00:00"/>
    <n v="1"/>
    <x v="1"/>
    <x v="0"/>
    <n v="0"/>
    <n v="0"/>
    <n v="0"/>
    <n v="1"/>
    <n v="115825"/>
  </r>
  <r>
    <n v="395"/>
    <d v="2019-01-30T00:00:00"/>
    <n v="1"/>
    <x v="1"/>
    <x v="0"/>
    <n v="0"/>
    <n v="1"/>
    <n v="1"/>
    <n v="1"/>
    <n v="11035847"/>
  </r>
  <r>
    <n v="396"/>
    <d v="2019-01-31T00:00:00"/>
    <n v="1"/>
    <x v="1"/>
    <x v="0"/>
    <n v="0"/>
    <n v="2"/>
    <n v="1"/>
    <n v="1"/>
    <s v="15.99"/>
  </r>
  <r>
    <n v="397"/>
    <d v="2019-02-01T00:00:00"/>
    <n v="1"/>
    <x v="1"/>
    <x v="1"/>
    <n v="0"/>
    <n v="3"/>
    <n v="1"/>
    <n v="1"/>
    <n v="19235847"/>
  </r>
  <r>
    <n v="398"/>
    <d v="2019-02-02T00:00:00"/>
    <n v="1"/>
    <x v="1"/>
    <x v="1"/>
    <n v="0"/>
    <n v="4"/>
    <n v="1"/>
    <n v="2"/>
    <n v="16365847"/>
  </r>
  <r>
    <n v="399"/>
    <d v="2019-02-03T00:00:00"/>
    <n v="1"/>
    <x v="1"/>
    <x v="1"/>
    <n v="0"/>
    <n v="5"/>
    <n v="1"/>
    <n v="1"/>
    <n v="12846653"/>
  </r>
  <r>
    <n v="400"/>
    <d v="2019-02-04T00:00:00"/>
    <n v="1"/>
    <x v="1"/>
    <x v="1"/>
    <n v="0"/>
    <n v="6"/>
    <n v="0"/>
    <n v="2"/>
    <n v="10830847"/>
  </r>
  <r>
    <n v="401"/>
    <d v="2019-02-05T00:00:00"/>
    <n v="1"/>
    <x v="1"/>
    <x v="1"/>
    <n v="0"/>
    <n v="0"/>
    <n v="0"/>
    <n v="2"/>
    <n v="10899153"/>
  </r>
  <r>
    <n v="402"/>
    <d v="2019-02-06T00:00:00"/>
    <n v="1"/>
    <x v="1"/>
    <x v="1"/>
    <n v="0"/>
    <n v="1"/>
    <n v="1"/>
    <n v="1"/>
    <n v="11586969"/>
  </r>
  <r>
    <n v="403"/>
    <d v="2019-02-07T00:00:00"/>
    <n v="1"/>
    <x v="1"/>
    <x v="1"/>
    <n v="0"/>
    <n v="2"/>
    <n v="1"/>
    <n v="1"/>
    <n v="14520847"/>
  </r>
  <r>
    <n v="404"/>
    <d v="2019-02-08T00:00:00"/>
    <n v="1"/>
    <x v="1"/>
    <x v="1"/>
    <n v="0"/>
    <n v="3"/>
    <n v="1"/>
    <n v="2"/>
    <n v="10523347"/>
  </r>
  <r>
    <n v="405"/>
    <d v="2019-02-09T00:00:00"/>
    <n v="1"/>
    <x v="1"/>
    <x v="1"/>
    <n v="0"/>
    <n v="4"/>
    <n v="1"/>
    <n v="1"/>
    <n v="10865"/>
  </r>
  <r>
    <n v="406"/>
    <d v="2019-02-10T00:00:00"/>
    <n v="1"/>
    <x v="1"/>
    <x v="1"/>
    <n v="0"/>
    <n v="5"/>
    <n v="1"/>
    <n v="2"/>
    <n v="11514153"/>
  </r>
  <r>
    <n v="407"/>
    <d v="2019-02-11T00:00:00"/>
    <n v="1"/>
    <x v="1"/>
    <x v="1"/>
    <n v="0"/>
    <n v="6"/>
    <n v="0"/>
    <n v="3"/>
    <n v="9190847"/>
  </r>
  <r>
    <n v="408"/>
    <d v="2019-02-12T00:00:00"/>
    <n v="1"/>
    <x v="1"/>
    <x v="1"/>
    <n v="0"/>
    <n v="0"/>
    <n v="0"/>
    <n v="1"/>
    <n v="52275"/>
  </r>
  <r>
    <n v="409"/>
    <d v="2019-02-13T00:00:00"/>
    <n v="1"/>
    <x v="1"/>
    <x v="1"/>
    <n v="0"/>
    <n v="1"/>
    <n v="1"/>
    <n v="1"/>
    <n v="91225"/>
  </r>
  <r>
    <n v="410"/>
    <d v="2019-02-14T00:00:00"/>
    <n v="1"/>
    <x v="1"/>
    <x v="1"/>
    <n v="0"/>
    <n v="2"/>
    <n v="1"/>
    <n v="2"/>
    <n v="13085847"/>
  </r>
  <r>
    <n v="411"/>
    <d v="2019-02-15T00:00:00"/>
    <n v="1"/>
    <x v="1"/>
    <x v="1"/>
    <n v="0"/>
    <n v="3"/>
    <n v="1"/>
    <n v="1"/>
    <n v="14281653"/>
  </r>
  <r>
    <n v="412"/>
    <d v="2019-02-16T00:00:00"/>
    <n v="1"/>
    <x v="1"/>
    <x v="1"/>
    <n v="0"/>
    <n v="4"/>
    <n v="1"/>
    <n v="2"/>
    <n v="12983347"/>
  </r>
  <r>
    <n v="413"/>
    <d v="2019-02-17T00:00:00"/>
    <n v="1"/>
    <x v="1"/>
    <x v="1"/>
    <n v="0"/>
    <n v="5"/>
    <n v="1"/>
    <n v="1"/>
    <n v="14076653"/>
  </r>
  <r>
    <n v="414"/>
    <d v="2019-02-18T00:00:00"/>
    <n v="1"/>
    <x v="1"/>
    <x v="1"/>
    <n v="0"/>
    <n v="6"/>
    <n v="0"/>
    <n v="1"/>
    <n v="14213347"/>
  </r>
  <r>
    <n v="415"/>
    <d v="2019-02-19T00:00:00"/>
    <n v="1"/>
    <x v="1"/>
    <x v="1"/>
    <n v="0"/>
    <n v="0"/>
    <n v="0"/>
    <n v="2"/>
    <s v="11.48"/>
  </r>
  <r>
    <n v="416"/>
    <d v="2019-02-20T00:00:00"/>
    <n v="1"/>
    <x v="1"/>
    <x v="1"/>
    <n v="1"/>
    <n v="1"/>
    <n v="0"/>
    <n v="1"/>
    <s v="11.48"/>
  </r>
  <r>
    <n v="417"/>
    <d v="2019-02-21T00:00:00"/>
    <n v="1"/>
    <x v="1"/>
    <x v="1"/>
    <n v="0"/>
    <n v="2"/>
    <n v="1"/>
    <n v="1"/>
    <n v="11800866"/>
  </r>
  <r>
    <n v="418"/>
    <d v="2019-02-22T00:00:00"/>
    <n v="1"/>
    <x v="1"/>
    <x v="1"/>
    <n v="0"/>
    <n v="3"/>
    <n v="1"/>
    <n v="1"/>
    <n v="16229153"/>
  </r>
  <r>
    <n v="419"/>
    <d v="2019-02-23T00:00:00"/>
    <n v="1"/>
    <x v="1"/>
    <x v="1"/>
    <n v="0"/>
    <n v="4"/>
    <n v="1"/>
    <n v="1"/>
    <n v="18620847"/>
  </r>
  <r>
    <n v="420"/>
    <d v="2019-02-24T00:00:00"/>
    <n v="1"/>
    <x v="1"/>
    <x v="1"/>
    <n v="0"/>
    <n v="5"/>
    <n v="1"/>
    <n v="2"/>
    <n v="167075"/>
  </r>
  <r>
    <n v="421"/>
    <d v="2019-02-25T00:00:00"/>
    <n v="1"/>
    <x v="1"/>
    <x v="1"/>
    <n v="0"/>
    <n v="6"/>
    <n v="0"/>
    <n v="1"/>
    <n v="11924153"/>
  </r>
  <r>
    <n v="422"/>
    <d v="2019-02-26T00:00:00"/>
    <n v="1"/>
    <x v="1"/>
    <x v="1"/>
    <n v="0"/>
    <n v="0"/>
    <n v="0"/>
    <n v="1"/>
    <n v="11445847"/>
  </r>
  <r>
    <n v="423"/>
    <d v="2019-02-27T00:00:00"/>
    <n v="1"/>
    <x v="1"/>
    <x v="1"/>
    <n v="0"/>
    <n v="1"/>
    <n v="1"/>
    <n v="1"/>
    <n v="15033347"/>
  </r>
  <r>
    <n v="424"/>
    <d v="2019-02-28T00:00:00"/>
    <n v="1"/>
    <x v="1"/>
    <x v="1"/>
    <n v="0"/>
    <n v="2"/>
    <n v="1"/>
    <n v="1"/>
    <n v="14725847"/>
  </r>
  <r>
    <n v="425"/>
    <d v="2019-03-01T00:00:00"/>
    <n v="1"/>
    <x v="1"/>
    <x v="2"/>
    <n v="0"/>
    <n v="4"/>
    <n v="1"/>
    <n v="1"/>
    <n v="19919153"/>
  </r>
  <r>
    <n v="426"/>
    <d v="2019-03-02T00:00:00"/>
    <n v="1"/>
    <x v="1"/>
    <x v="2"/>
    <n v="0"/>
    <n v="5"/>
    <n v="1"/>
    <n v="2"/>
    <n v="14486653"/>
  </r>
  <r>
    <n v="427"/>
    <d v="2019-03-03T00:00:00"/>
    <n v="1"/>
    <x v="1"/>
    <x v="2"/>
    <n v="0"/>
    <n v="6"/>
    <n v="0"/>
    <n v="2"/>
    <n v="16980847"/>
  </r>
  <r>
    <n v="428"/>
    <d v="2019-03-04T00:00:00"/>
    <n v="1"/>
    <x v="1"/>
    <x v="2"/>
    <n v="0"/>
    <n v="0"/>
    <n v="0"/>
    <n v="1"/>
    <n v="13359153"/>
  </r>
  <r>
    <n v="429"/>
    <d v="2019-03-05T00:00:00"/>
    <n v="1"/>
    <x v="1"/>
    <x v="2"/>
    <n v="0"/>
    <n v="1"/>
    <n v="1"/>
    <n v="1"/>
    <n v="9976653"/>
  </r>
  <r>
    <n v="430"/>
    <d v="2019-03-06T00:00:00"/>
    <n v="1"/>
    <x v="1"/>
    <x v="2"/>
    <n v="0"/>
    <n v="2"/>
    <n v="1"/>
    <n v="1"/>
    <n v="10591653"/>
  </r>
  <r>
    <n v="431"/>
    <d v="2019-03-07T00:00:00"/>
    <n v="1"/>
    <x v="1"/>
    <x v="2"/>
    <n v="0"/>
    <n v="3"/>
    <n v="1"/>
    <n v="1"/>
    <n v="16570847"/>
  </r>
  <r>
    <n v="432"/>
    <d v="2019-03-08T00:00:00"/>
    <n v="1"/>
    <x v="1"/>
    <x v="2"/>
    <n v="0"/>
    <n v="4"/>
    <n v="1"/>
    <n v="1"/>
    <n v="216275"/>
  </r>
  <r>
    <n v="433"/>
    <d v="2019-03-09T00:00:00"/>
    <n v="1"/>
    <x v="1"/>
    <x v="2"/>
    <n v="0"/>
    <n v="5"/>
    <n v="1"/>
    <n v="2"/>
    <n v="16844153"/>
  </r>
  <r>
    <n v="434"/>
    <d v="2019-03-10T00:00:00"/>
    <n v="1"/>
    <x v="1"/>
    <x v="2"/>
    <n v="0"/>
    <n v="6"/>
    <n v="0"/>
    <n v="1"/>
    <n v="117875"/>
  </r>
  <r>
    <n v="435"/>
    <d v="2019-03-11T00:00:00"/>
    <n v="1"/>
    <x v="1"/>
    <x v="2"/>
    <n v="0"/>
    <n v="0"/>
    <n v="0"/>
    <n v="1"/>
    <n v="14831299"/>
  </r>
  <r>
    <n v="436"/>
    <d v="2019-03-12T00:00:00"/>
    <n v="1"/>
    <x v="1"/>
    <x v="2"/>
    <n v="0"/>
    <n v="1"/>
    <n v="1"/>
    <n v="1"/>
    <n v="19133347"/>
  </r>
  <r>
    <n v="437"/>
    <d v="2019-03-13T00:00:00"/>
    <n v="1"/>
    <x v="1"/>
    <x v="2"/>
    <n v="0"/>
    <n v="2"/>
    <n v="1"/>
    <n v="1"/>
    <n v="23165"/>
  </r>
  <r>
    <n v="438"/>
    <d v="2019-03-14T00:00:00"/>
    <n v="1"/>
    <x v="1"/>
    <x v="2"/>
    <n v="0"/>
    <n v="3"/>
    <n v="1"/>
    <n v="1"/>
    <n v="234725"/>
  </r>
  <r>
    <n v="439"/>
    <d v="2019-03-15T00:00:00"/>
    <n v="1"/>
    <x v="1"/>
    <x v="2"/>
    <n v="0"/>
    <n v="4"/>
    <n v="1"/>
    <n v="1"/>
    <n v="228575"/>
  </r>
  <r>
    <n v="440"/>
    <d v="2019-03-16T00:00:00"/>
    <n v="1"/>
    <x v="1"/>
    <x v="2"/>
    <n v="0"/>
    <n v="5"/>
    <n v="1"/>
    <n v="2"/>
    <n v="17869153"/>
  </r>
  <r>
    <n v="441"/>
    <d v="2019-03-17T00:00:00"/>
    <n v="1"/>
    <x v="1"/>
    <x v="2"/>
    <n v="0"/>
    <n v="6"/>
    <n v="0"/>
    <n v="2"/>
    <n v="21080847"/>
  </r>
  <r>
    <n v="442"/>
    <d v="2019-03-18T00:00:00"/>
    <n v="1"/>
    <x v="1"/>
    <x v="2"/>
    <n v="0"/>
    <n v="0"/>
    <n v="0"/>
    <n v="2"/>
    <n v="193725"/>
  </r>
  <r>
    <n v="443"/>
    <d v="2019-03-19T00:00:00"/>
    <n v="1"/>
    <x v="1"/>
    <x v="2"/>
    <n v="0"/>
    <n v="1"/>
    <n v="1"/>
    <n v="1"/>
    <n v="22345"/>
  </r>
  <r>
    <n v="444"/>
    <d v="2019-03-20T00:00:00"/>
    <n v="1"/>
    <x v="1"/>
    <x v="2"/>
    <n v="0"/>
    <n v="2"/>
    <n v="1"/>
    <n v="1"/>
    <n v="22994153"/>
  </r>
  <r>
    <n v="445"/>
    <d v="2019-03-21T00:00:00"/>
    <n v="2"/>
    <x v="1"/>
    <x v="2"/>
    <n v="0"/>
    <n v="3"/>
    <n v="1"/>
    <n v="2"/>
    <n v="21798347"/>
  </r>
  <r>
    <n v="446"/>
    <d v="2019-03-22T00:00:00"/>
    <n v="2"/>
    <x v="1"/>
    <x v="2"/>
    <n v="0"/>
    <n v="4"/>
    <n v="1"/>
    <n v="1"/>
    <n v="22720847"/>
  </r>
  <r>
    <n v="447"/>
    <d v="2019-03-23T00:00:00"/>
    <n v="2"/>
    <x v="1"/>
    <x v="2"/>
    <n v="0"/>
    <n v="5"/>
    <n v="1"/>
    <n v="2"/>
    <n v="24668347"/>
  </r>
  <r>
    <n v="448"/>
    <d v="2019-03-24T00:00:00"/>
    <n v="2"/>
    <x v="1"/>
    <x v="2"/>
    <n v="0"/>
    <n v="6"/>
    <n v="0"/>
    <n v="2"/>
    <n v="206025"/>
  </r>
  <r>
    <n v="449"/>
    <d v="2019-03-25T00:00:00"/>
    <n v="2"/>
    <x v="1"/>
    <x v="2"/>
    <n v="0"/>
    <n v="0"/>
    <n v="0"/>
    <n v="2"/>
    <n v="179375"/>
  </r>
  <r>
    <n v="450"/>
    <d v="2019-03-26T00:00:00"/>
    <n v="2"/>
    <x v="1"/>
    <x v="2"/>
    <n v="0"/>
    <n v="1"/>
    <n v="1"/>
    <n v="1"/>
    <n v="18279153"/>
  </r>
  <r>
    <n v="451"/>
    <d v="2019-03-27T00:00:00"/>
    <n v="2"/>
    <x v="1"/>
    <x v="2"/>
    <n v="0"/>
    <n v="2"/>
    <n v="1"/>
    <n v="1"/>
    <n v="13256653"/>
  </r>
  <r>
    <n v="452"/>
    <d v="2019-03-28T00:00:00"/>
    <n v="2"/>
    <x v="1"/>
    <x v="2"/>
    <n v="0"/>
    <n v="3"/>
    <n v="1"/>
    <n v="1"/>
    <n v="19850847"/>
  </r>
  <r>
    <n v="453"/>
    <d v="2019-03-29T00:00:00"/>
    <n v="2"/>
    <x v="1"/>
    <x v="2"/>
    <n v="0"/>
    <n v="4"/>
    <n v="1"/>
    <n v="1"/>
    <n v="20260847"/>
  </r>
  <r>
    <n v="454"/>
    <d v="2019-03-30T00:00:00"/>
    <n v="2"/>
    <x v="1"/>
    <x v="2"/>
    <n v="0"/>
    <n v="5"/>
    <n v="1"/>
    <n v="2"/>
    <s v="15.17"/>
  </r>
  <r>
    <n v="455"/>
    <d v="2019-03-31T00:00:00"/>
    <n v="2"/>
    <x v="1"/>
    <x v="2"/>
    <n v="0"/>
    <n v="6"/>
    <n v="0"/>
    <n v="2"/>
    <n v="17390847"/>
  </r>
  <r>
    <n v="456"/>
    <d v="2019-04-01T00:00:00"/>
    <n v="2"/>
    <x v="1"/>
    <x v="3"/>
    <n v="0"/>
    <n v="0"/>
    <n v="0"/>
    <n v="2"/>
    <n v="17459153"/>
  </r>
  <r>
    <n v="457"/>
    <d v="2019-04-02T00:00:00"/>
    <n v="2"/>
    <x v="1"/>
    <x v="3"/>
    <n v="0"/>
    <n v="1"/>
    <n v="1"/>
    <n v="1"/>
    <n v="17790433"/>
  </r>
  <r>
    <n v="458"/>
    <d v="2019-04-03T00:00:00"/>
    <n v="2"/>
    <x v="1"/>
    <x v="3"/>
    <n v="0"/>
    <n v="2"/>
    <n v="1"/>
    <n v="1"/>
    <n v="19133347"/>
  </r>
  <r>
    <n v="459"/>
    <d v="2019-04-04T00:00:00"/>
    <n v="2"/>
    <x v="1"/>
    <x v="3"/>
    <n v="0"/>
    <n v="3"/>
    <n v="1"/>
    <n v="1"/>
    <n v="22208347"/>
  </r>
  <r>
    <n v="460"/>
    <d v="2019-04-05T00:00:00"/>
    <n v="2"/>
    <x v="1"/>
    <x v="3"/>
    <n v="0"/>
    <n v="4"/>
    <n v="1"/>
    <n v="1"/>
    <n v="17835"/>
  </r>
  <r>
    <n v="461"/>
    <d v="2019-04-06T00:00:00"/>
    <n v="2"/>
    <x v="1"/>
    <x v="3"/>
    <n v="0"/>
    <n v="5"/>
    <n v="1"/>
    <n v="1"/>
    <n v="16536653"/>
  </r>
  <r>
    <n v="462"/>
    <d v="2019-04-07T00:00:00"/>
    <n v="2"/>
    <x v="1"/>
    <x v="3"/>
    <n v="0"/>
    <n v="6"/>
    <n v="0"/>
    <n v="1"/>
    <n v="179375"/>
  </r>
  <r>
    <n v="463"/>
    <d v="2019-04-08T00:00:00"/>
    <n v="2"/>
    <x v="1"/>
    <x v="3"/>
    <n v="0"/>
    <n v="0"/>
    <n v="0"/>
    <n v="1"/>
    <s v="20.5"/>
  </r>
  <r>
    <n v="464"/>
    <d v="2019-04-09T00:00:00"/>
    <n v="2"/>
    <x v="1"/>
    <x v="3"/>
    <n v="0"/>
    <n v="1"/>
    <n v="1"/>
    <n v="1"/>
    <n v="20055847"/>
  </r>
  <r>
    <n v="465"/>
    <d v="2019-04-10T00:00:00"/>
    <n v="2"/>
    <x v="1"/>
    <x v="3"/>
    <n v="0"/>
    <n v="2"/>
    <n v="1"/>
    <n v="1"/>
    <n v="18313347"/>
  </r>
  <r>
    <n v="466"/>
    <d v="2019-04-11T00:00:00"/>
    <n v="2"/>
    <x v="1"/>
    <x v="3"/>
    <n v="0"/>
    <n v="3"/>
    <n v="1"/>
    <n v="1"/>
    <n v="14296536"/>
  </r>
  <r>
    <n v="467"/>
    <d v="2019-04-12T00:00:00"/>
    <n v="2"/>
    <x v="1"/>
    <x v="3"/>
    <n v="0"/>
    <n v="4"/>
    <n v="1"/>
    <n v="1"/>
    <n v="162975"/>
  </r>
  <r>
    <n v="468"/>
    <d v="2019-04-13T00:00:00"/>
    <n v="2"/>
    <x v="1"/>
    <x v="3"/>
    <n v="0"/>
    <n v="5"/>
    <n v="1"/>
    <n v="1"/>
    <n v="181425"/>
  </r>
  <r>
    <n v="469"/>
    <d v="2019-04-14T00:00:00"/>
    <n v="2"/>
    <x v="1"/>
    <x v="3"/>
    <n v="0"/>
    <n v="6"/>
    <n v="0"/>
    <n v="1"/>
    <n v="20295"/>
  </r>
  <r>
    <n v="470"/>
    <d v="2019-04-15T00:00:00"/>
    <n v="2"/>
    <x v="1"/>
    <x v="3"/>
    <n v="0"/>
    <n v="0"/>
    <n v="0"/>
    <n v="1"/>
    <n v="24873347"/>
  </r>
  <r>
    <n v="471"/>
    <d v="2019-04-16T00:00:00"/>
    <n v="2"/>
    <x v="1"/>
    <x v="3"/>
    <n v="1"/>
    <n v="1"/>
    <n v="0"/>
    <n v="1"/>
    <n v="27230847"/>
  </r>
  <r>
    <n v="472"/>
    <d v="2019-04-17T00:00:00"/>
    <n v="2"/>
    <x v="1"/>
    <x v="3"/>
    <n v="0"/>
    <n v="2"/>
    <n v="1"/>
    <n v="1"/>
    <n v="24941653"/>
  </r>
  <r>
    <n v="473"/>
    <d v="2019-04-18T00:00:00"/>
    <n v="2"/>
    <x v="1"/>
    <x v="3"/>
    <n v="0"/>
    <n v="3"/>
    <n v="1"/>
    <n v="2"/>
    <n v="18996653"/>
  </r>
  <r>
    <n v="474"/>
    <d v="2019-04-19T00:00:00"/>
    <n v="2"/>
    <x v="1"/>
    <x v="3"/>
    <n v="0"/>
    <n v="4"/>
    <n v="1"/>
    <n v="1"/>
    <n v="20431653"/>
  </r>
  <r>
    <n v="475"/>
    <d v="2019-04-20T00:00:00"/>
    <n v="2"/>
    <x v="1"/>
    <x v="3"/>
    <n v="0"/>
    <n v="5"/>
    <n v="1"/>
    <n v="1"/>
    <n v="21593347"/>
  </r>
  <r>
    <n v="476"/>
    <d v="2019-04-21T00:00:00"/>
    <n v="2"/>
    <x v="1"/>
    <x v="3"/>
    <n v="0"/>
    <n v="6"/>
    <n v="0"/>
    <n v="1"/>
    <s v="23.37"/>
  </r>
  <r>
    <n v="477"/>
    <d v="2019-04-22T00:00:00"/>
    <n v="2"/>
    <x v="1"/>
    <x v="3"/>
    <n v="0"/>
    <n v="0"/>
    <n v="0"/>
    <n v="3"/>
    <n v="16263347"/>
  </r>
  <r>
    <n v="478"/>
    <d v="2019-04-23T00:00:00"/>
    <n v="2"/>
    <x v="1"/>
    <x v="3"/>
    <n v="0"/>
    <n v="1"/>
    <n v="1"/>
    <n v="2"/>
    <n v="13188347"/>
  </r>
  <r>
    <n v="479"/>
    <d v="2019-04-24T00:00:00"/>
    <n v="2"/>
    <x v="1"/>
    <x v="3"/>
    <n v="0"/>
    <n v="2"/>
    <n v="1"/>
    <n v="1"/>
    <n v="16946653"/>
  </r>
  <r>
    <n v="480"/>
    <d v="2019-04-25T00:00:00"/>
    <n v="2"/>
    <x v="1"/>
    <x v="3"/>
    <n v="0"/>
    <n v="3"/>
    <n v="1"/>
    <n v="1"/>
    <n v="19543347"/>
  </r>
  <r>
    <n v="481"/>
    <d v="2019-04-26T00:00:00"/>
    <n v="2"/>
    <x v="1"/>
    <x v="3"/>
    <n v="0"/>
    <n v="4"/>
    <n v="1"/>
    <n v="2"/>
    <n v="20431653"/>
  </r>
  <r>
    <n v="482"/>
    <d v="2019-04-27T00:00:00"/>
    <n v="2"/>
    <x v="1"/>
    <x v="3"/>
    <n v="0"/>
    <n v="5"/>
    <n v="1"/>
    <n v="1"/>
    <n v="187575"/>
  </r>
  <r>
    <n v="483"/>
    <d v="2019-04-28T00:00:00"/>
    <n v="2"/>
    <x v="1"/>
    <x v="3"/>
    <n v="0"/>
    <n v="6"/>
    <n v="0"/>
    <n v="2"/>
    <n v="15443347"/>
  </r>
  <r>
    <n v="484"/>
    <d v="2019-04-29T00:00:00"/>
    <n v="2"/>
    <x v="1"/>
    <x v="3"/>
    <n v="0"/>
    <n v="0"/>
    <n v="0"/>
    <n v="1"/>
    <n v="18791653"/>
  </r>
  <r>
    <n v="485"/>
    <d v="2019-04-30T00:00:00"/>
    <n v="2"/>
    <x v="1"/>
    <x v="3"/>
    <n v="0"/>
    <n v="1"/>
    <n v="1"/>
    <n v="2"/>
    <n v="19030847"/>
  </r>
  <r>
    <n v="486"/>
    <d v="2019-05-01T00:00:00"/>
    <n v="2"/>
    <x v="1"/>
    <x v="4"/>
    <n v="0"/>
    <n v="2"/>
    <n v="1"/>
    <n v="2"/>
    <n v="25146653"/>
  </r>
  <r>
    <n v="487"/>
    <d v="2019-05-02T00:00:00"/>
    <n v="2"/>
    <x v="1"/>
    <x v="4"/>
    <n v="0"/>
    <n v="3"/>
    <n v="1"/>
    <n v="1"/>
    <n v="23130847"/>
  </r>
  <r>
    <n v="488"/>
    <d v="2019-05-03T00:00:00"/>
    <n v="2"/>
    <x v="1"/>
    <x v="4"/>
    <n v="0"/>
    <n v="4"/>
    <n v="1"/>
    <n v="2"/>
    <s v="22.96"/>
  </r>
  <r>
    <n v="489"/>
    <d v="2019-05-04T00:00:00"/>
    <n v="2"/>
    <x v="1"/>
    <x v="4"/>
    <n v="0"/>
    <n v="5"/>
    <n v="1"/>
    <n v="1"/>
    <n v="257275"/>
  </r>
  <r>
    <n v="490"/>
    <d v="2019-05-05T00:00:00"/>
    <n v="2"/>
    <x v="1"/>
    <x v="4"/>
    <n v="0"/>
    <n v="6"/>
    <n v="0"/>
    <n v="2"/>
    <n v="25488347"/>
  </r>
  <r>
    <n v="491"/>
    <d v="2019-05-06T00:00:00"/>
    <n v="2"/>
    <x v="1"/>
    <x v="4"/>
    <n v="0"/>
    <n v="0"/>
    <n v="0"/>
    <n v="2"/>
    <n v="230625"/>
  </r>
  <r>
    <n v="492"/>
    <d v="2019-05-07T00:00:00"/>
    <n v="2"/>
    <x v="1"/>
    <x v="4"/>
    <n v="0"/>
    <n v="1"/>
    <n v="1"/>
    <n v="2"/>
    <n v="220375"/>
  </r>
  <r>
    <n v="493"/>
    <d v="2019-05-08T00:00:00"/>
    <n v="2"/>
    <x v="1"/>
    <x v="4"/>
    <n v="0"/>
    <n v="2"/>
    <n v="1"/>
    <n v="2"/>
    <n v="23848347"/>
  </r>
  <r>
    <n v="494"/>
    <d v="2019-05-09T00:00:00"/>
    <n v="2"/>
    <x v="1"/>
    <x v="4"/>
    <n v="0"/>
    <n v="3"/>
    <n v="1"/>
    <n v="2"/>
    <n v="23575"/>
  </r>
  <r>
    <n v="495"/>
    <d v="2019-05-10T00:00:00"/>
    <n v="2"/>
    <x v="1"/>
    <x v="4"/>
    <n v="0"/>
    <n v="4"/>
    <n v="1"/>
    <n v="1"/>
    <n v="20739153"/>
  </r>
  <r>
    <n v="496"/>
    <d v="2019-05-11T00:00:00"/>
    <n v="2"/>
    <x v="1"/>
    <x v="4"/>
    <n v="0"/>
    <n v="5"/>
    <n v="1"/>
    <n v="1"/>
    <n v="21866653"/>
  </r>
  <r>
    <n v="497"/>
    <d v="2019-05-12T00:00:00"/>
    <n v="2"/>
    <x v="1"/>
    <x v="4"/>
    <n v="0"/>
    <n v="6"/>
    <n v="0"/>
    <n v="1"/>
    <n v="23130847"/>
  </r>
  <r>
    <n v="498"/>
    <d v="2019-05-13T00:00:00"/>
    <n v="2"/>
    <x v="1"/>
    <x v="4"/>
    <n v="0"/>
    <n v="0"/>
    <n v="0"/>
    <n v="1"/>
    <n v="251125"/>
  </r>
  <r>
    <n v="499"/>
    <d v="2019-05-14T00:00:00"/>
    <n v="2"/>
    <x v="1"/>
    <x v="4"/>
    <n v="0"/>
    <n v="1"/>
    <n v="1"/>
    <n v="2"/>
    <n v="23506653"/>
  </r>
  <r>
    <n v="500"/>
    <d v="2019-05-15T00:00:00"/>
    <n v="2"/>
    <x v="1"/>
    <x v="4"/>
    <n v="0"/>
    <n v="2"/>
    <n v="1"/>
    <n v="2"/>
    <n v="25078347"/>
  </r>
  <r>
    <n v="501"/>
    <d v="2019-05-16T00:00:00"/>
    <n v="2"/>
    <x v="1"/>
    <x v="4"/>
    <n v="0"/>
    <n v="3"/>
    <n v="1"/>
    <n v="1"/>
    <n v="26103347"/>
  </r>
  <r>
    <n v="502"/>
    <d v="2019-05-17T00:00:00"/>
    <n v="2"/>
    <x v="1"/>
    <x v="4"/>
    <n v="0"/>
    <n v="4"/>
    <n v="1"/>
    <n v="1"/>
    <n v="24326653"/>
  </r>
  <r>
    <n v="503"/>
    <d v="2019-05-18T00:00:00"/>
    <n v="2"/>
    <x v="1"/>
    <x v="4"/>
    <n v="0"/>
    <n v="5"/>
    <n v="1"/>
    <n v="1"/>
    <n v="23130847"/>
  </r>
  <r>
    <n v="504"/>
    <d v="2019-05-19T00:00:00"/>
    <n v="2"/>
    <x v="1"/>
    <x v="4"/>
    <n v="0"/>
    <n v="6"/>
    <n v="0"/>
    <n v="1"/>
    <s v="24.6"/>
  </r>
  <r>
    <n v="505"/>
    <d v="2019-05-20T00:00:00"/>
    <n v="2"/>
    <x v="1"/>
    <x v="4"/>
    <n v="0"/>
    <n v="0"/>
    <n v="0"/>
    <n v="1"/>
    <n v="25454153"/>
  </r>
  <r>
    <n v="506"/>
    <d v="2019-05-21T00:00:00"/>
    <n v="2"/>
    <x v="1"/>
    <x v="4"/>
    <n v="0"/>
    <n v="1"/>
    <n v="1"/>
    <n v="2"/>
    <n v="24531653"/>
  </r>
  <r>
    <n v="507"/>
    <d v="2019-05-22T00:00:00"/>
    <n v="2"/>
    <x v="1"/>
    <x v="4"/>
    <n v="0"/>
    <n v="2"/>
    <n v="1"/>
    <n v="2"/>
    <n v="25215"/>
  </r>
  <r>
    <n v="508"/>
    <d v="2019-05-23T00:00:00"/>
    <n v="2"/>
    <x v="1"/>
    <x v="4"/>
    <n v="0"/>
    <n v="3"/>
    <n v="1"/>
    <n v="2"/>
    <n v="25488347"/>
  </r>
  <r>
    <n v="509"/>
    <d v="2019-05-24T00:00:00"/>
    <n v="2"/>
    <x v="1"/>
    <x v="4"/>
    <n v="0"/>
    <n v="4"/>
    <n v="1"/>
    <n v="1"/>
    <n v="26855"/>
  </r>
  <r>
    <n v="510"/>
    <d v="2019-05-25T00:00:00"/>
    <n v="2"/>
    <x v="1"/>
    <x v="4"/>
    <n v="0"/>
    <n v="5"/>
    <n v="1"/>
    <n v="1"/>
    <s v="27.88"/>
  </r>
  <r>
    <n v="511"/>
    <d v="2019-05-26T00:00:00"/>
    <n v="2"/>
    <x v="1"/>
    <x v="4"/>
    <n v="0"/>
    <n v="6"/>
    <n v="0"/>
    <n v="1"/>
    <n v="283925"/>
  </r>
  <r>
    <n v="512"/>
    <d v="2019-05-27T00:00:00"/>
    <n v="2"/>
    <x v="1"/>
    <x v="4"/>
    <n v="0"/>
    <n v="0"/>
    <n v="0"/>
    <n v="1"/>
    <s v="28.29"/>
  </r>
  <r>
    <n v="513"/>
    <d v="2019-05-28T00:00:00"/>
    <n v="2"/>
    <x v="1"/>
    <x v="4"/>
    <n v="1"/>
    <n v="1"/>
    <n v="0"/>
    <n v="1"/>
    <n v="292125"/>
  </r>
  <r>
    <n v="514"/>
    <d v="2019-05-29T00:00:00"/>
    <n v="2"/>
    <x v="1"/>
    <x v="4"/>
    <n v="0"/>
    <n v="2"/>
    <n v="1"/>
    <n v="1"/>
    <n v="296225"/>
  </r>
  <r>
    <n v="515"/>
    <d v="2019-05-30T00:00:00"/>
    <n v="2"/>
    <x v="1"/>
    <x v="4"/>
    <n v="0"/>
    <n v="3"/>
    <n v="1"/>
    <n v="2"/>
    <n v="26923347"/>
  </r>
  <r>
    <n v="516"/>
    <d v="2019-05-31T00:00:00"/>
    <n v="2"/>
    <x v="1"/>
    <x v="4"/>
    <n v="0"/>
    <n v="4"/>
    <n v="1"/>
    <n v="1"/>
    <s v="27.88"/>
  </r>
  <r>
    <n v="517"/>
    <d v="2019-06-01T00:00:00"/>
    <n v="2"/>
    <x v="1"/>
    <x v="5"/>
    <n v="0"/>
    <n v="5"/>
    <n v="1"/>
    <n v="2"/>
    <n v="26820847"/>
  </r>
  <r>
    <n v="518"/>
    <d v="2019-06-02T00:00:00"/>
    <n v="2"/>
    <x v="1"/>
    <x v="5"/>
    <n v="0"/>
    <n v="6"/>
    <n v="0"/>
    <n v="1"/>
    <n v="23916653"/>
  </r>
  <r>
    <n v="519"/>
    <d v="2019-06-03T00:00:00"/>
    <n v="2"/>
    <x v="1"/>
    <x v="5"/>
    <n v="0"/>
    <n v="0"/>
    <n v="0"/>
    <n v="1"/>
    <n v="247025"/>
  </r>
  <r>
    <n v="520"/>
    <d v="2019-06-04T00:00:00"/>
    <n v="2"/>
    <x v="1"/>
    <x v="5"/>
    <n v="0"/>
    <n v="1"/>
    <n v="1"/>
    <n v="1"/>
    <n v="244975"/>
  </r>
  <r>
    <n v="521"/>
    <d v="2019-06-05T00:00:00"/>
    <n v="2"/>
    <x v="1"/>
    <x v="5"/>
    <n v="0"/>
    <n v="2"/>
    <n v="1"/>
    <n v="2"/>
    <n v="22174153"/>
  </r>
  <r>
    <n v="522"/>
    <d v="2019-06-06T00:00:00"/>
    <n v="2"/>
    <x v="1"/>
    <x v="5"/>
    <n v="0"/>
    <n v="3"/>
    <n v="1"/>
    <n v="1"/>
    <n v="22720847"/>
  </r>
  <r>
    <n v="523"/>
    <d v="2019-06-07T00:00:00"/>
    <n v="2"/>
    <x v="1"/>
    <x v="5"/>
    <n v="0"/>
    <n v="4"/>
    <n v="1"/>
    <n v="1"/>
    <n v="247025"/>
  </r>
  <r>
    <n v="524"/>
    <d v="2019-06-08T00:00:00"/>
    <n v="2"/>
    <x v="1"/>
    <x v="5"/>
    <n v="0"/>
    <n v="5"/>
    <n v="1"/>
    <n v="1"/>
    <n v="26615847"/>
  </r>
  <r>
    <n v="525"/>
    <d v="2019-06-09T00:00:00"/>
    <n v="2"/>
    <x v="1"/>
    <x v="5"/>
    <n v="0"/>
    <n v="6"/>
    <n v="0"/>
    <n v="1"/>
    <n v="29144153"/>
  </r>
  <r>
    <n v="526"/>
    <d v="2019-06-10T00:00:00"/>
    <n v="2"/>
    <x v="1"/>
    <x v="5"/>
    <n v="0"/>
    <n v="0"/>
    <n v="0"/>
    <n v="1"/>
    <n v="29793347"/>
  </r>
  <r>
    <n v="527"/>
    <d v="2019-06-11T00:00:00"/>
    <n v="2"/>
    <x v="1"/>
    <x v="5"/>
    <n v="0"/>
    <n v="1"/>
    <n v="1"/>
    <n v="2"/>
    <n v="29554153"/>
  </r>
  <r>
    <n v="528"/>
    <d v="2019-06-12T00:00:00"/>
    <n v="2"/>
    <x v="1"/>
    <x v="5"/>
    <n v="0"/>
    <n v="2"/>
    <n v="1"/>
    <n v="2"/>
    <n v="26786653"/>
  </r>
  <r>
    <n v="529"/>
    <d v="2019-06-13T00:00:00"/>
    <n v="2"/>
    <x v="1"/>
    <x v="5"/>
    <n v="0"/>
    <n v="3"/>
    <n v="1"/>
    <n v="1"/>
    <n v="26889153"/>
  </r>
  <r>
    <n v="530"/>
    <d v="2019-06-14T00:00:00"/>
    <n v="2"/>
    <x v="1"/>
    <x v="5"/>
    <n v="0"/>
    <n v="4"/>
    <n v="1"/>
    <n v="1"/>
    <n v="26581653"/>
  </r>
  <r>
    <n v="531"/>
    <d v="2019-06-15T00:00:00"/>
    <n v="2"/>
    <x v="1"/>
    <x v="5"/>
    <n v="0"/>
    <n v="5"/>
    <n v="1"/>
    <n v="1"/>
    <n v="26205847"/>
  </r>
  <r>
    <n v="532"/>
    <d v="2019-06-16T00:00:00"/>
    <n v="2"/>
    <x v="1"/>
    <x v="5"/>
    <n v="0"/>
    <n v="6"/>
    <n v="0"/>
    <n v="1"/>
    <n v="25898347"/>
  </r>
  <r>
    <n v="533"/>
    <d v="2019-06-17T00:00:00"/>
    <n v="2"/>
    <x v="1"/>
    <x v="5"/>
    <n v="0"/>
    <n v="0"/>
    <n v="0"/>
    <n v="1"/>
    <n v="242925"/>
  </r>
  <r>
    <n v="534"/>
    <d v="2019-06-18T00:00:00"/>
    <n v="2"/>
    <x v="1"/>
    <x v="5"/>
    <n v="0"/>
    <n v="1"/>
    <n v="1"/>
    <n v="2"/>
    <n v="23301653"/>
  </r>
  <r>
    <n v="535"/>
    <d v="2019-06-19T00:00:00"/>
    <n v="2"/>
    <x v="1"/>
    <x v="5"/>
    <n v="0"/>
    <n v="2"/>
    <n v="1"/>
    <n v="1"/>
    <n v="28221653"/>
  </r>
  <r>
    <n v="536"/>
    <d v="2019-06-20T00:00:00"/>
    <n v="2"/>
    <x v="1"/>
    <x v="5"/>
    <n v="0"/>
    <n v="3"/>
    <n v="1"/>
    <n v="1"/>
    <n v="320825"/>
  </r>
  <r>
    <n v="537"/>
    <d v="2019-06-21T00:00:00"/>
    <n v="3"/>
    <x v="1"/>
    <x v="5"/>
    <n v="0"/>
    <n v="4"/>
    <n v="1"/>
    <n v="1"/>
    <n v="33039153"/>
  </r>
  <r>
    <n v="538"/>
    <d v="2019-06-22T00:00:00"/>
    <n v="3"/>
    <x v="1"/>
    <x v="5"/>
    <n v="0"/>
    <n v="5"/>
    <n v="1"/>
    <n v="1"/>
    <n v="318775"/>
  </r>
  <r>
    <n v="539"/>
    <d v="2019-06-23T00:00:00"/>
    <n v="3"/>
    <x v="1"/>
    <x v="5"/>
    <n v="0"/>
    <n v="6"/>
    <n v="0"/>
    <n v="1"/>
    <n v="29998347"/>
  </r>
  <r>
    <n v="540"/>
    <d v="2019-06-24T00:00:00"/>
    <n v="3"/>
    <x v="1"/>
    <x v="5"/>
    <n v="0"/>
    <n v="0"/>
    <n v="0"/>
    <n v="1"/>
    <n v="30476653"/>
  </r>
  <r>
    <n v="541"/>
    <d v="2019-06-25T00:00:00"/>
    <n v="3"/>
    <x v="1"/>
    <x v="5"/>
    <n v="0"/>
    <n v="1"/>
    <n v="1"/>
    <n v="1"/>
    <n v="29349153"/>
  </r>
  <r>
    <n v="542"/>
    <d v="2019-06-26T00:00:00"/>
    <n v="3"/>
    <x v="1"/>
    <x v="5"/>
    <n v="0"/>
    <n v="2"/>
    <n v="1"/>
    <n v="1"/>
    <n v="25864153"/>
  </r>
  <r>
    <n v="543"/>
    <d v="2019-06-27T00:00:00"/>
    <n v="3"/>
    <x v="1"/>
    <x v="5"/>
    <n v="0"/>
    <n v="3"/>
    <n v="1"/>
    <n v="1"/>
    <n v="285975"/>
  </r>
  <r>
    <n v="544"/>
    <d v="2019-06-28T00:00:00"/>
    <n v="3"/>
    <x v="1"/>
    <x v="5"/>
    <n v="0"/>
    <n v="4"/>
    <n v="1"/>
    <n v="1"/>
    <n v="30715847"/>
  </r>
  <r>
    <n v="545"/>
    <d v="2019-06-29T00:00:00"/>
    <n v="3"/>
    <x v="1"/>
    <x v="5"/>
    <n v="0"/>
    <n v="5"/>
    <n v="1"/>
    <n v="1"/>
    <n v="34200847"/>
  </r>
  <r>
    <n v="546"/>
    <d v="2019-06-30T00:00:00"/>
    <n v="3"/>
    <x v="1"/>
    <x v="5"/>
    <n v="0"/>
    <n v="6"/>
    <n v="0"/>
    <n v="1"/>
    <n v="31365"/>
  </r>
  <r>
    <n v="547"/>
    <d v="2019-07-01T00:00:00"/>
    <n v="3"/>
    <x v="1"/>
    <x v="6"/>
    <n v="0"/>
    <n v="0"/>
    <n v="0"/>
    <n v="1"/>
    <n v="33449153"/>
  </r>
  <r>
    <n v="548"/>
    <d v="2019-07-02T00:00:00"/>
    <n v="3"/>
    <x v="1"/>
    <x v="6"/>
    <n v="0"/>
    <n v="1"/>
    <n v="1"/>
    <n v="1"/>
    <n v="32048347"/>
  </r>
  <r>
    <n v="549"/>
    <d v="2019-07-03T00:00:00"/>
    <n v="3"/>
    <x v="1"/>
    <x v="6"/>
    <n v="0"/>
    <n v="2"/>
    <n v="1"/>
    <n v="1"/>
    <n v="32014153"/>
  </r>
  <r>
    <n v="550"/>
    <d v="2019-07-04T00:00:00"/>
    <n v="3"/>
    <x v="1"/>
    <x v="6"/>
    <n v="1"/>
    <n v="3"/>
    <n v="0"/>
    <n v="1"/>
    <n v="32355847"/>
  </r>
  <r>
    <n v="551"/>
    <d v="2019-07-05T00:00:00"/>
    <n v="3"/>
    <x v="1"/>
    <x v="6"/>
    <n v="0"/>
    <n v="4"/>
    <n v="1"/>
    <n v="1"/>
    <n v="339275"/>
  </r>
  <r>
    <n v="552"/>
    <d v="2019-07-06T00:00:00"/>
    <n v="3"/>
    <x v="1"/>
    <x v="6"/>
    <n v="0"/>
    <n v="5"/>
    <n v="1"/>
    <n v="1"/>
    <n v="33961653"/>
  </r>
  <r>
    <n v="553"/>
    <d v="2019-07-07T00:00:00"/>
    <n v="3"/>
    <x v="1"/>
    <x v="6"/>
    <n v="0"/>
    <n v="6"/>
    <n v="0"/>
    <n v="1"/>
    <n v="35328347"/>
  </r>
  <r>
    <n v="554"/>
    <d v="2019-07-08T00:00:00"/>
    <n v="3"/>
    <x v="1"/>
    <x v="6"/>
    <n v="0"/>
    <n v="0"/>
    <n v="0"/>
    <n v="1"/>
    <n v="337225"/>
  </r>
  <r>
    <n v="555"/>
    <d v="2019-07-09T00:00:00"/>
    <n v="3"/>
    <x v="1"/>
    <x v="6"/>
    <n v="0"/>
    <n v="1"/>
    <n v="1"/>
    <n v="2"/>
    <n v="29144153"/>
  </r>
  <r>
    <n v="556"/>
    <d v="2019-07-10T00:00:00"/>
    <n v="3"/>
    <x v="1"/>
    <x v="6"/>
    <n v="0"/>
    <n v="2"/>
    <n v="1"/>
    <n v="2"/>
    <n v="29554153"/>
  </r>
  <r>
    <n v="557"/>
    <d v="2019-07-11T00:00:00"/>
    <n v="3"/>
    <x v="1"/>
    <x v="6"/>
    <n v="0"/>
    <n v="3"/>
    <n v="1"/>
    <n v="1"/>
    <n v="29383347"/>
  </r>
  <r>
    <n v="558"/>
    <d v="2019-07-12T00:00:00"/>
    <n v="3"/>
    <x v="1"/>
    <x v="6"/>
    <n v="0"/>
    <n v="4"/>
    <n v="1"/>
    <n v="1"/>
    <n v="29349153"/>
  </r>
  <r>
    <n v="559"/>
    <d v="2019-07-13T00:00:00"/>
    <n v="3"/>
    <x v="1"/>
    <x v="6"/>
    <n v="0"/>
    <n v="5"/>
    <n v="1"/>
    <n v="2"/>
    <n v="29998347"/>
  </r>
  <r>
    <n v="560"/>
    <d v="2019-07-14T00:00:00"/>
    <n v="3"/>
    <x v="1"/>
    <x v="6"/>
    <n v="0"/>
    <n v="6"/>
    <n v="0"/>
    <n v="2"/>
    <n v="28836653"/>
  </r>
  <r>
    <n v="561"/>
    <d v="2019-07-15T00:00:00"/>
    <n v="3"/>
    <x v="1"/>
    <x v="6"/>
    <n v="0"/>
    <n v="0"/>
    <n v="0"/>
    <n v="1"/>
    <n v="30579153"/>
  </r>
  <r>
    <n v="562"/>
    <d v="2019-07-16T00:00:00"/>
    <n v="3"/>
    <x v="1"/>
    <x v="6"/>
    <n v="0"/>
    <n v="1"/>
    <n v="1"/>
    <n v="1"/>
    <n v="31296653"/>
  </r>
  <r>
    <n v="563"/>
    <d v="2019-07-17T00:00:00"/>
    <n v="3"/>
    <x v="1"/>
    <x v="6"/>
    <n v="0"/>
    <n v="2"/>
    <n v="1"/>
    <n v="1"/>
    <n v="33551653"/>
  </r>
  <r>
    <n v="564"/>
    <d v="2019-07-18T00:00:00"/>
    <n v="3"/>
    <x v="1"/>
    <x v="6"/>
    <n v="0"/>
    <n v="3"/>
    <n v="1"/>
    <n v="1"/>
    <n v="32526653"/>
  </r>
  <r>
    <n v="565"/>
    <d v="2019-07-19T00:00:00"/>
    <n v="3"/>
    <x v="1"/>
    <x v="6"/>
    <n v="0"/>
    <n v="4"/>
    <n v="1"/>
    <n v="1"/>
    <s v="31.57"/>
  </r>
  <r>
    <n v="566"/>
    <d v="2019-07-20T00:00:00"/>
    <n v="3"/>
    <x v="1"/>
    <x v="6"/>
    <n v="0"/>
    <n v="5"/>
    <n v="1"/>
    <n v="2"/>
    <n v="27299153"/>
  </r>
  <r>
    <n v="567"/>
    <d v="2019-07-21T00:00:00"/>
    <n v="3"/>
    <x v="1"/>
    <x v="6"/>
    <n v="0"/>
    <n v="6"/>
    <n v="0"/>
    <n v="3"/>
    <n v="24429153"/>
  </r>
  <r>
    <n v="568"/>
    <d v="2019-07-22T00:00:00"/>
    <n v="3"/>
    <x v="1"/>
    <x v="6"/>
    <n v="0"/>
    <n v="0"/>
    <n v="0"/>
    <n v="2"/>
    <n v="273675"/>
  </r>
  <r>
    <n v="569"/>
    <d v="2019-07-23T00:00:00"/>
    <n v="3"/>
    <x v="1"/>
    <x v="6"/>
    <n v="0"/>
    <n v="1"/>
    <n v="1"/>
    <n v="1"/>
    <n v="30408347"/>
  </r>
  <r>
    <n v="570"/>
    <d v="2019-07-24T00:00:00"/>
    <n v="3"/>
    <x v="1"/>
    <x v="6"/>
    <n v="0"/>
    <n v="2"/>
    <n v="1"/>
    <n v="1"/>
    <n v="30784153"/>
  </r>
  <r>
    <n v="571"/>
    <d v="2019-07-25T00:00:00"/>
    <n v="3"/>
    <x v="1"/>
    <x v="6"/>
    <n v="0"/>
    <n v="3"/>
    <n v="1"/>
    <n v="1"/>
    <n v="29690847"/>
  </r>
  <r>
    <n v="572"/>
    <d v="2019-07-26T00:00:00"/>
    <n v="3"/>
    <x v="1"/>
    <x v="6"/>
    <n v="0"/>
    <n v="4"/>
    <n v="1"/>
    <n v="1"/>
    <n v="31843347"/>
  </r>
  <r>
    <n v="573"/>
    <d v="2019-07-27T00:00:00"/>
    <n v="3"/>
    <x v="1"/>
    <x v="6"/>
    <n v="0"/>
    <n v="5"/>
    <n v="1"/>
    <n v="1"/>
    <n v="32048347"/>
  </r>
  <r>
    <n v="574"/>
    <d v="2019-07-28T00:00:00"/>
    <n v="3"/>
    <x v="1"/>
    <x v="6"/>
    <n v="0"/>
    <n v="6"/>
    <n v="0"/>
    <n v="1"/>
    <n v="30989153"/>
  </r>
  <r>
    <n v="575"/>
    <d v="2019-07-29T00:00:00"/>
    <n v="3"/>
    <x v="1"/>
    <x v="6"/>
    <n v="0"/>
    <n v="0"/>
    <n v="0"/>
    <n v="1"/>
    <n v="29588347"/>
  </r>
  <r>
    <n v="576"/>
    <d v="2019-07-30T00:00:00"/>
    <n v="3"/>
    <x v="1"/>
    <x v="6"/>
    <n v="0"/>
    <n v="1"/>
    <n v="1"/>
    <n v="1"/>
    <n v="29964153"/>
  </r>
  <r>
    <n v="577"/>
    <d v="2019-07-31T00:00:00"/>
    <n v="3"/>
    <x v="1"/>
    <x v="6"/>
    <n v="0"/>
    <n v="2"/>
    <n v="1"/>
    <n v="1"/>
    <n v="29246653"/>
  </r>
  <r>
    <n v="578"/>
    <d v="2019-08-01T00:00:00"/>
    <n v="3"/>
    <x v="1"/>
    <x v="7"/>
    <n v="0"/>
    <n v="3"/>
    <n v="1"/>
    <n v="1"/>
    <n v="294175"/>
  </r>
  <r>
    <n v="579"/>
    <d v="2019-08-02T00:00:00"/>
    <n v="3"/>
    <x v="1"/>
    <x v="7"/>
    <n v="0"/>
    <n v="4"/>
    <n v="1"/>
    <n v="1"/>
    <n v="308525"/>
  </r>
  <r>
    <n v="580"/>
    <d v="2019-08-03T00:00:00"/>
    <n v="3"/>
    <x v="1"/>
    <x v="7"/>
    <n v="0"/>
    <n v="5"/>
    <n v="1"/>
    <n v="2"/>
    <n v="31399153"/>
  </r>
  <r>
    <n v="581"/>
    <d v="2019-08-04T00:00:00"/>
    <n v="3"/>
    <x v="1"/>
    <x v="7"/>
    <n v="0"/>
    <n v="6"/>
    <n v="0"/>
    <n v="1"/>
    <n v="32526653"/>
  </r>
  <r>
    <n v="582"/>
    <d v="2019-08-05T00:00:00"/>
    <n v="3"/>
    <x v="1"/>
    <x v="7"/>
    <n v="0"/>
    <n v="0"/>
    <n v="0"/>
    <n v="1"/>
    <n v="31535847"/>
  </r>
  <r>
    <n v="583"/>
    <d v="2019-08-06T00:00:00"/>
    <n v="3"/>
    <x v="1"/>
    <x v="7"/>
    <n v="0"/>
    <n v="1"/>
    <n v="1"/>
    <n v="2"/>
    <n v="308525"/>
  </r>
  <r>
    <n v="584"/>
    <d v="2019-08-07T00:00:00"/>
    <n v="3"/>
    <x v="1"/>
    <x v="7"/>
    <n v="0"/>
    <n v="2"/>
    <n v="1"/>
    <n v="2"/>
    <n v="30169153"/>
  </r>
  <r>
    <n v="585"/>
    <d v="2019-08-08T00:00:00"/>
    <n v="3"/>
    <x v="1"/>
    <x v="7"/>
    <n v="0"/>
    <n v="3"/>
    <n v="1"/>
    <n v="2"/>
    <s v="30.75"/>
  </r>
  <r>
    <n v="586"/>
    <d v="2019-08-09T00:00:00"/>
    <n v="3"/>
    <x v="1"/>
    <x v="7"/>
    <n v="0"/>
    <n v="4"/>
    <n v="1"/>
    <n v="1"/>
    <n v="30989153"/>
  </r>
  <r>
    <n v="587"/>
    <d v="2019-08-10T00:00:00"/>
    <n v="3"/>
    <x v="1"/>
    <x v="7"/>
    <n v="0"/>
    <n v="5"/>
    <n v="1"/>
    <n v="2"/>
    <n v="29349153"/>
  </r>
  <r>
    <n v="588"/>
    <d v="2019-08-11T00:00:00"/>
    <n v="3"/>
    <x v="1"/>
    <x v="7"/>
    <n v="0"/>
    <n v="6"/>
    <n v="0"/>
    <n v="2"/>
    <n v="283925"/>
  </r>
  <r>
    <n v="589"/>
    <d v="2019-08-12T00:00:00"/>
    <n v="3"/>
    <x v="1"/>
    <x v="7"/>
    <n v="0"/>
    <n v="0"/>
    <n v="0"/>
    <n v="1"/>
    <n v="28734153"/>
  </r>
  <r>
    <n v="590"/>
    <d v="2019-08-13T00:00:00"/>
    <n v="3"/>
    <x v="1"/>
    <x v="7"/>
    <n v="0"/>
    <n v="1"/>
    <n v="1"/>
    <n v="1"/>
    <n v="29554153"/>
  </r>
  <r>
    <n v="591"/>
    <d v="2019-08-14T00:00:00"/>
    <n v="3"/>
    <x v="1"/>
    <x v="7"/>
    <n v="0"/>
    <n v="2"/>
    <n v="1"/>
    <n v="1"/>
    <n v="29793347"/>
  </r>
  <r>
    <n v="592"/>
    <d v="2019-08-15T00:00:00"/>
    <n v="3"/>
    <x v="1"/>
    <x v="7"/>
    <n v="0"/>
    <n v="3"/>
    <n v="1"/>
    <n v="1"/>
    <n v="28973347"/>
  </r>
  <r>
    <n v="593"/>
    <d v="2019-08-16T00:00:00"/>
    <n v="3"/>
    <x v="1"/>
    <x v="7"/>
    <n v="0"/>
    <n v="4"/>
    <n v="1"/>
    <n v="1"/>
    <n v="29485847"/>
  </r>
  <r>
    <n v="594"/>
    <d v="2019-08-17T00:00:00"/>
    <n v="3"/>
    <x v="1"/>
    <x v="7"/>
    <n v="0"/>
    <n v="5"/>
    <n v="1"/>
    <n v="1"/>
    <n v="29656653"/>
  </r>
  <r>
    <n v="595"/>
    <d v="2019-08-18T00:00:00"/>
    <n v="3"/>
    <x v="1"/>
    <x v="7"/>
    <n v="0"/>
    <n v="6"/>
    <n v="0"/>
    <n v="1"/>
    <n v="27811653"/>
  </r>
  <r>
    <n v="596"/>
    <d v="2019-08-19T00:00:00"/>
    <n v="3"/>
    <x v="1"/>
    <x v="7"/>
    <n v="0"/>
    <n v="0"/>
    <n v="0"/>
    <n v="2"/>
    <n v="26069153"/>
  </r>
  <r>
    <n v="597"/>
    <d v="2019-08-20T00:00:00"/>
    <n v="3"/>
    <x v="1"/>
    <x v="7"/>
    <n v="0"/>
    <n v="1"/>
    <n v="1"/>
    <n v="2"/>
    <n v="26069153"/>
  </r>
  <r>
    <n v="598"/>
    <d v="2019-08-21T00:00:00"/>
    <n v="3"/>
    <x v="1"/>
    <x v="7"/>
    <n v="0"/>
    <n v="2"/>
    <n v="1"/>
    <n v="1"/>
    <n v="26615847"/>
  </r>
  <r>
    <n v="599"/>
    <d v="2019-08-22T00:00:00"/>
    <n v="3"/>
    <x v="1"/>
    <x v="7"/>
    <n v="0"/>
    <n v="3"/>
    <n v="1"/>
    <n v="1"/>
    <n v="273675"/>
  </r>
  <r>
    <n v="600"/>
    <d v="2019-08-23T00:00:00"/>
    <n v="3"/>
    <x v="1"/>
    <x v="7"/>
    <n v="0"/>
    <n v="4"/>
    <n v="1"/>
    <n v="1"/>
    <n v="28529153"/>
  </r>
  <r>
    <n v="601"/>
    <d v="2019-08-24T00:00:00"/>
    <n v="3"/>
    <x v="1"/>
    <x v="7"/>
    <n v="0"/>
    <n v="5"/>
    <n v="1"/>
    <n v="2"/>
    <n v="288025"/>
  </r>
  <r>
    <n v="602"/>
    <d v="2019-08-25T00:00:00"/>
    <n v="3"/>
    <x v="1"/>
    <x v="7"/>
    <n v="0"/>
    <n v="6"/>
    <n v="0"/>
    <n v="2"/>
    <n v="27128347"/>
  </r>
  <r>
    <n v="603"/>
    <d v="2019-08-26T00:00:00"/>
    <n v="3"/>
    <x v="1"/>
    <x v="7"/>
    <n v="0"/>
    <n v="0"/>
    <n v="0"/>
    <n v="2"/>
    <n v="26786653"/>
  </r>
  <r>
    <n v="604"/>
    <d v="2019-08-27T00:00:00"/>
    <n v="3"/>
    <x v="1"/>
    <x v="7"/>
    <n v="0"/>
    <n v="1"/>
    <n v="1"/>
    <n v="1"/>
    <n v="28836653"/>
  </r>
  <r>
    <n v="605"/>
    <d v="2019-08-28T00:00:00"/>
    <n v="3"/>
    <x v="1"/>
    <x v="7"/>
    <n v="0"/>
    <n v="2"/>
    <n v="1"/>
    <n v="1"/>
    <n v="29861653"/>
  </r>
  <r>
    <n v="606"/>
    <d v="2019-08-29T00:00:00"/>
    <n v="3"/>
    <x v="1"/>
    <x v="7"/>
    <n v="0"/>
    <n v="3"/>
    <n v="1"/>
    <n v="1"/>
    <n v="28085"/>
  </r>
  <r>
    <n v="607"/>
    <d v="2019-08-30T00:00:00"/>
    <n v="3"/>
    <x v="1"/>
    <x v="7"/>
    <n v="0"/>
    <n v="4"/>
    <n v="1"/>
    <n v="1"/>
    <n v="28973347"/>
  </r>
  <r>
    <n v="608"/>
    <d v="2019-08-31T00:00:00"/>
    <n v="3"/>
    <x v="1"/>
    <x v="7"/>
    <n v="0"/>
    <n v="5"/>
    <n v="1"/>
    <n v="1"/>
    <n v="31330847"/>
  </r>
  <r>
    <n v="609"/>
    <d v="2019-09-01T00:00:00"/>
    <n v="3"/>
    <x v="1"/>
    <x v="8"/>
    <n v="0"/>
    <n v="6"/>
    <n v="0"/>
    <n v="2"/>
    <n v="30886653"/>
  </r>
  <r>
    <n v="610"/>
    <d v="2019-09-02T00:00:00"/>
    <n v="3"/>
    <x v="1"/>
    <x v="8"/>
    <n v="0"/>
    <n v="0"/>
    <n v="0"/>
    <n v="2"/>
    <n v="28563347"/>
  </r>
  <r>
    <n v="611"/>
    <d v="2019-09-03T00:00:00"/>
    <n v="3"/>
    <x v="1"/>
    <x v="8"/>
    <n v="1"/>
    <n v="1"/>
    <n v="0"/>
    <n v="1"/>
    <n v="290075"/>
  </r>
  <r>
    <n v="612"/>
    <d v="2019-09-04T00:00:00"/>
    <n v="3"/>
    <x v="1"/>
    <x v="8"/>
    <n v="0"/>
    <n v="2"/>
    <n v="1"/>
    <n v="1"/>
    <n v="29759153"/>
  </r>
  <r>
    <n v="613"/>
    <d v="2019-09-05T00:00:00"/>
    <n v="3"/>
    <x v="1"/>
    <x v="8"/>
    <n v="0"/>
    <n v="3"/>
    <n v="1"/>
    <n v="1"/>
    <n v="30203347"/>
  </r>
  <r>
    <n v="614"/>
    <d v="2019-09-06T00:00:00"/>
    <n v="3"/>
    <x v="1"/>
    <x v="8"/>
    <n v="0"/>
    <n v="4"/>
    <n v="1"/>
    <n v="2"/>
    <n v="28563347"/>
  </r>
  <r>
    <n v="615"/>
    <d v="2019-09-07T00:00:00"/>
    <n v="3"/>
    <x v="1"/>
    <x v="8"/>
    <n v="0"/>
    <n v="5"/>
    <n v="1"/>
    <n v="1"/>
    <n v="28836653"/>
  </r>
  <r>
    <n v="616"/>
    <d v="2019-09-08T00:00:00"/>
    <n v="3"/>
    <x v="1"/>
    <x v="8"/>
    <n v="0"/>
    <n v="6"/>
    <n v="0"/>
    <n v="2"/>
    <n v="27025847"/>
  </r>
  <r>
    <n v="617"/>
    <d v="2019-09-09T00:00:00"/>
    <n v="3"/>
    <x v="1"/>
    <x v="8"/>
    <n v="0"/>
    <n v="0"/>
    <n v="0"/>
    <n v="1"/>
    <s v="25.01"/>
  </r>
  <r>
    <n v="618"/>
    <d v="2019-09-10T00:00:00"/>
    <n v="3"/>
    <x v="1"/>
    <x v="8"/>
    <n v="0"/>
    <n v="1"/>
    <n v="1"/>
    <n v="1"/>
    <n v="23916653"/>
  </r>
  <r>
    <n v="619"/>
    <d v="2019-09-11T00:00:00"/>
    <n v="3"/>
    <x v="1"/>
    <x v="8"/>
    <n v="0"/>
    <n v="2"/>
    <n v="1"/>
    <n v="1"/>
    <n v="236775"/>
  </r>
  <r>
    <n v="620"/>
    <d v="2019-09-12T00:00:00"/>
    <n v="3"/>
    <x v="1"/>
    <x v="8"/>
    <n v="0"/>
    <n v="3"/>
    <n v="1"/>
    <n v="1"/>
    <n v="24565847"/>
  </r>
  <r>
    <n v="621"/>
    <d v="2019-09-13T00:00:00"/>
    <n v="3"/>
    <x v="1"/>
    <x v="8"/>
    <n v="0"/>
    <n v="4"/>
    <n v="1"/>
    <n v="1"/>
    <n v="251125"/>
  </r>
  <r>
    <n v="622"/>
    <d v="2019-09-14T00:00:00"/>
    <n v="3"/>
    <x v="1"/>
    <x v="8"/>
    <n v="0"/>
    <n v="5"/>
    <n v="1"/>
    <n v="1"/>
    <n v="25966653"/>
  </r>
  <r>
    <n v="623"/>
    <d v="2019-09-15T00:00:00"/>
    <n v="3"/>
    <x v="1"/>
    <x v="8"/>
    <n v="0"/>
    <n v="6"/>
    <n v="0"/>
    <n v="1"/>
    <n v="24941653"/>
  </r>
  <r>
    <n v="624"/>
    <d v="2019-09-16T00:00:00"/>
    <n v="3"/>
    <x v="1"/>
    <x v="8"/>
    <n v="0"/>
    <n v="0"/>
    <n v="0"/>
    <n v="1"/>
    <s v="23.78"/>
  </r>
  <r>
    <n v="625"/>
    <d v="2019-09-17T00:00:00"/>
    <n v="3"/>
    <x v="1"/>
    <x v="8"/>
    <n v="0"/>
    <n v="1"/>
    <n v="1"/>
    <n v="2"/>
    <n v="23814153"/>
  </r>
  <r>
    <n v="626"/>
    <d v="2019-09-18T00:00:00"/>
    <n v="3"/>
    <x v="1"/>
    <x v="8"/>
    <n v="0"/>
    <n v="2"/>
    <n v="1"/>
    <n v="2"/>
    <n v="25556653"/>
  </r>
  <r>
    <n v="627"/>
    <d v="2019-09-19T00:00:00"/>
    <n v="3"/>
    <x v="1"/>
    <x v="8"/>
    <n v="0"/>
    <n v="3"/>
    <n v="1"/>
    <n v="1"/>
    <n v="226525"/>
  </r>
  <r>
    <n v="628"/>
    <d v="2019-09-20T00:00:00"/>
    <n v="3"/>
    <x v="1"/>
    <x v="8"/>
    <n v="0"/>
    <n v="4"/>
    <n v="1"/>
    <n v="1"/>
    <n v="22413347"/>
  </r>
  <r>
    <n v="629"/>
    <d v="2019-09-21T00:00:00"/>
    <n v="3"/>
    <x v="1"/>
    <x v="8"/>
    <n v="0"/>
    <n v="5"/>
    <n v="1"/>
    <n v="1"/>
    <n v="24565847"/>
  </r>
  <r>
    <n v="630"/>
    <d v="2019-09-22T00:00:00"/>
    <n v="3"/>
    <x v="1"/>
    <x v="8"/>
    <n v="0"/>
    <n v="6"/>
    <n v="0"/>
    <n v="1"/>
    <s v="26.65"/>
  </r>
  <r>
    <n v="631"/>
    <d v="2019-09-23T00:00:00"/>
    <n v="4"/>
    <x v="1"/>
    <x v="8"/>
    <n v="0"/>
    <n v="0"/>
    <n v="0"/>
    <n v="1"/>
    <n v="21695847"/>
  </r>
  <r>
    <n v="632"/>
    <d v="2019-09-24T00:00:00"/>
    <n v="4"/>
    <x v="1"/>
    <x v="8"/>
    <n v="0"/>
    <n v="1"/>
    <n v="1"/>
    <n v="1"/>
    <n v="21080847"/>
  </r>
  <r>
    <n v="633"/>
    <d v="2019-09-25T00:00:00"/>
    <n v="4"/>
    <x v="1"/>
    <x v="8"/>
    <n v="0"/>
    <n v="2"/>
    <n v="1"/>
    <n v="1"/>
    <s v="22.55"/>
  </r>
  <r>
    <n v="634"/>
    <d v="2019-09-26T00:00:00"/>
    <n v="4"/>
    <x v="1"/>
    <x v="8"/>
    <n v="0"/>
    <n v="3"/>
    <n v="1"/>
    <n v="1"/>
    <n v="26035"/>
  </r>
  <r>
    <n v="635"/>
    <d v="2019-09-27T00:00:00"/>
    <n v="4"/>
    <x v="1"/>
    <x v="8"/>
    <n v="0"/>
    <n v="4"/>
    <n v="1"/>
    <n v="2"/>
    <s v="26.65"/>
  </r>
  <r>
    <n v="636"/>
    <d v="2019-09-28T00:00:00"/>
    <n v="4"/>
    <x v="1"/>
    <x v="8"/>
    <n v="0"/>
    <n v="5"/>
    <n v="1"/>
    <n v="2"/>
    <n v="25385847"/>
  </r>
  <r>
    <n v="637"/>
    <d v="2019-09-29T00:00:00"/>
    <n v="4"/>
    <x v="1"/>
    <x v="8"/>
    <n v="0"/>
    <n v="6"/>
    <n v="0"/>
    <n v="1"/>
    <n v="222425"/>
  </r>
  <r>
    <n v="638"/>
    <d v="2019-09-30T00:00:00"/>
    <n v="4"/>
    <x v="1"/>
    <x v="8"/>
    <n v="0"/>
    <n v="0"/>
    <n v="0"/>
    <n v="1"/>
    <n v="21593347"/>
  </r>
  <r>
    <n v="639"/>
    <d v="2019-10-01T00:00:00"/>
    <n v="4"/>
    <x v="1"/>
    <x v="9"/>
    <n v="0"/>
    <n v="1"/>
    <n v="1"/>
    <n v="2"/>
    <n v="21354153"/>
  </r>
  <r>
    <n v="640"/>
    <d v="2019-10-02T00:00:00"/>
    <n v="4"/>
    <x v="1"/>
    <x v="9"/>
    <n v="0"/>
    <n v="2"/>
    <n v="1"/>
    <n v="3"/>
    <n v="24224153"/>
  </r>
  <r>
    <n v="641"/>
    <d v="2019-10-03T00:00:00"/>
    <n v="4"/>
    <x v="1"/>
    <x v="9"/>
    <n v="0"/>
    <n v="3"/>
    <n v="1"/>
    <n v="2"/>
    <n v="269575"/>
  </r>
  <r>
    <n v="642"/>
    <d v="2019-10-04T00:00:00"/>
    <n v="4"/>
    <x v="1"/>
    <x v="9"/>
    <n v="0"/>
    <n v="4"/>
    <n v="1"/>
    <n v="2"/>
    <n v="269575"/>
  </r>
  <r>
    <n v="643"/>
    <d v="2019-10-05T00:00:00"/>
    <n v="4"/>
    <x v="1"/>
    <x v="9"/>
    <n v="0"/>
    <n v="5"/>
    <n v="1"/>
    <n v="1"/>
    <n v="25215"/>
  </r>
  <r>
    <n v="644"/>
    <d v="2019-10-06T00:00:00"/>
    <n v="4"/>
    <x v="1"/>
    <x v="9"/>
    <n v="0"/>
    <n v="6"/>
    <n v="0"/>
    <n v="1"/>
    <n v="22720847"/>
  </r>
  <r>
    <n v="645"/>
    <d v="2019-10-07T00:00:00"/>
    <n v="4"/>
    <x v="1"/>
    <x v="9"/>
    <n v="0"/>
    <n v="0"/>
    <n v="0"/>
    <n v="2"/>
    <n v="17049153"/>
  </r>
  <r>
    <n v="646"/>
    <d v="2019-10-08T00:00:00"/>
    <n v="4"/>
    <x v="1"/>
    <x v="9"/>
    <n v="1"/>
    <n v="1"/>
    <n v="0"/>
    <n v="2"/>
    <n v="15716653"/>
  </r>
  <r>
    <n v="647"/>
    <d v="2019-10-09T00:00:00"/>
    <n v="4"/>
    <x v="1"/>
    <x v="9"/>
    <n v="0"/>
    <n v="2"/>
    <n v="1"/>
    <n v="2"/>
    <n v="18313347"/>
  </r>
  <r>
    <n v="648"/>
    <d v="2019-10-10T00:00:00"/>
    <n v="4"/>
    <x v="1"/>
    <x v="9"/>
    <n v="0"/>
    <n v="3"/>
    <n v="1"/>
    <n v="1"/>
    <n v="21080847"/>
  </r>
  <r>
    <n v="649"/>
    <d v="2019-10-11T00:00:00"/>
    <n v="4"/>
    <x v="1"/>
    <x v="9"/>
    <n v="0"/>
    <n v="4"/>
    <n v="1"/>
    <n v="1"/>
    <n v="17835"/>
  </r>
  <r>
    <n v="650"/>
    <d v="2019-10-12T00:00:00"/>
    <n v="4"/>
    <x v="1"/>
    <x v="9"/>
    <n v="0"/>
    <n v="5"/>
    <n v="1"/>
    <n v="1"/>
    <n v="179375"/>
  </r>
  <r>
    <n v="651"/>
    <d v="2019-10-13T00:00:00"/>
    <n v="4"/>
    <x v="1"/>
    <x v="9"/>
    <n v="0"/>
    <n v="6"/>
    <n v="0"/>
    <n v="1"/>
    <n v="16126653"/>
  </r>
  <r>
    <n v="652"/>
    <d v="2019-10-14T00:00:00"/>
    <n v="4"/>
    <x v="1"/>
    <x v="9"/>
    <n v="0"/>
    <n v="0"/>
    <n v="0"/>
    <n v="1"/>
    <n v="21388347"/>
  </r>
  <r>
    <n v="653"/>
    <d v="2019-10-15T00:00:00"/>
    <n v="4"/>
    <x v="1"/>
    <x v="9"/>
    <n v="0"/>
    <n v="1"/>
    <n v="1"/>
    <n v="2"/>
    <n v="23028347"/>
  </r>
  <r>
    <n v="654"/>
    <d v="2019-10-16T00:00:00"/>
    <n v="4"/>
    <x v="1"/>
    <x v="9"/>
    <n v="0"/>
    <n v="2"/>
    <n v="1"/>
    <n v="1"/>
    <n v="19201653"/>
  </r>
  <r>
    <n v="655"/>
    <d v="2019-10-17T00:00:00"/>
    <n v="4"/>
    <x v="1"/>
    <x v="9"/>
    <n v="0"/>
    <n v="3"/>
    <n v="1"/>
    <n v="1"/>
    <n v="18689153"/>
  </r>
  <r>
    <n v="656"/>
    <d v="2019-10-18T00:00:00"/>
    <n v="4"/>
    <x v="1"/>
    <x v="9"/>
    <n v="0"/>
    <n v="4"/>
    <n v="1"/>
    <n v="2"/>
    <n v="214225"/>
  </r>
  <r>
    <n v="657"/>
    <d v="2019-10-19T00:00:00"/>
    <n v="4"/>
    <x v="1"/>
    <x v="9"/>
    <n v="0"/>
    <n v="5"/>
    <n v="1"/>
    <n v="2"/>
    <n v="23096653"/>
  </r>
  <r>
    <n v="658"/>
    <d v="2019-10-20T00:00:00"/>
    <n v="4"/>
    <x v="1"/>
    <x v="9"/>
    <n v="0"/>
    <n v="6"/>
    <n v="0"/>
    <n v="1"/>
    <n v="19850847"/>
  </r>
  <r>
    <n v="659"/>
    <d v="2019-10-21T00:00:00"/>
    <n v="4"/>
    <x v="1"/>
    <x v="9"/>
    <n v="0"/>
    <n v="0"/>
    <n v="0"/>
    <n v="1"/>
    <n v="19030847"/>
  </r>
  <r>
    <n v="660"/>
    <d v="2019-10-22T00:00:00"/>
    <n v="4"/>
    <x v="1"/>
    <x v="9"/>
    <n v="0"/>
    <n v="1"/>
    <n v="1"/>
    <n v="1"/>
    <n v="199875"/>
  </r>
  <r>
    <n v="661"/>
    <d v="2019-10-23T00:00:00"/>
    <n v="4"/>
    <x v="1"/>
    <x v="9"/>
    <n v="0"/>
    <n v="2"/>
    <n v="1"/>
    <n v="1"/>
    <n v="22310847"/>
  </r>
  <r>
    <n v="662"/>
    <d v="2019-10-24T00:00:00"/>
    <n v="4"/>
    <x v="1"/>
    <x v="9"/>
    <n v="0"/>
    <n v="3"/>
    <n v="1"/>
    <n v="1"/>
    <n v="240875"/>
  </r>
  <r>
    <n v="663"/>
    <d v="2019-10-25T00:00:00"/>
    <n v="4"/>
    <x v="1"/>
    <x v="9"/>
    <n v="0"/>
    <n v="4"/>
    <n v="1"/>
    <n v="2"/>
    <s v="22.55"/>
  </r>
  <r>
    <n v="664"/>
    <d v="2019-10-26T00:00:00"/>
    <n v="4"/>
    <x v="1"/>
    <x v="9"/>
    <n v="0"/>
    <n v="5"/>
    <n v="1"/>
    <n v="2"/>
    <n v="22379153"/>
  </r>
  <r>
    <n v="665"/>
    <d v="2019-10-27T00:00:00"/>
    <n v="4"/>
    <x v="1"/>
    <x v="9"/>
    <n v="0"/>
    <n v="6"/>
    <n v="0"/>
    <n v="2"/>
    <s v="21.73"/>
  </r>
  <r>
    <n v="666"/>
    <d v="2019-10-28T00:00:00"/>
    <n v="4"/>
    <x v="1"/>
    <x v="9"/>
    <n v="0"/>
    <n v="0"/>
    <n v="0"/>
    <n v="2"/>
    <n v="195775"/>
  </r>
  <r>
    <n v="667"/>
    <d v="2019-10-29T00:00:00"/>
    <n v="4"/>
    <x v="1"/>
    <x v="9"/>
    <n v="0"/>
    <n v="1"/>
    <n v="1"/>
    <n v="3"/>
    <s v="18.04"/>
  </r>
  <r>
    <n v="668"/>
    <d v="2019-10-30T00:00:00"/>
    <n v="4"/>
    <x v="1"/>
    <x v="9"/>
    <n v="0"/>
    <n v="2"/>
    <n v="1"/>
    <n v="2"/>
    <n v="13045462"/>
  </r>
  <r>
    <n v="669"/>
    <d v="2019-10-31T00:00:00"/>
    <n v="4"/>
    <x v="1"/>
    <x v="9"/>
    <n v="0"/>
    <n v="3"/>
    <n v="1"/>
    <n v="2"/>
    <n v="146575"/>
  </r>
  <r>
    <n v="670"/>
    <d v="2019-11-01T00:00:00"/>
    <n v="4"/>
    <x v="1"/>
    <x v="10"/>
    <n v="0"/>
    <n v="4"/>
    <n v="1"/>
    <n v="2"/>
    <n v="14999153"/>
  </r>
  <r>
    <n v="671"/>
    <d v="2019-11-02T00:00:00"/>
    <n v="4"/>
    <x v="1"/>
    <x v="10"/>
    <n v="0"/>
    <n v="5"/>
    <n v="1"/>
    <n v="1"/>
    <n v="14555"/>
  </r>
  <r>
    <n v="672"/>
    <d v="2019-11-03T00:00:00"/>
    <n v="4"/>
    <x v="1"/>
    <x v="10"/>
    <n v="0"/>
    <n v="6"/>
    <n v="0"/>
    <n v="2"/>
    <n v="14076653"/>
  </r>
  <r>
    <n v="673"/>
    <d v="2019-11-04T00:00:00"/>
    <n v="4"/>
    <x v="1"/>
    <x v="10"/>
    <n v="0"/>
    <n v="0"/>
    <n v="0"/>
    <n v="1"/>
    <n v="13359153"/>
  </r>
  <r>
    <n v="674"/>
    <d v="2019-11-05T00:00:00"/>
    <n v="4"/>
    <x v="1"/>
    <x v="10"/>
    <n v="0"/>
    <n v="1"/>
    <n v="1"/>
    <n v="1"/>
    <n v="13085847"/>
  </r>
  <r>
    <n v="675"/>
    <d v="2019-11-06T00:00:00"/>
    <n v="4"/>
    <x v="1"/>
    <x v="10"/>
    <n v="0"/>
    <n v="2"/>
    <n v="1"/>
    <n v="1"/>
    <n v="11514153"/>
  </r>
  <r>
    <n v="676"/>
    <d v="2019-11-07T00:00:00"/>
    <n v="4"/>
    <x v="1"/>
    <x v="10"/>
    <n v="0"/>
    <n v="3"/>
    <n v="1"/>
    <n v="2"/>
    <n v="12129153"/>
  </r>
  <r>
    <n v="677"/>
    <d v="2019-11-08T00:00:00"/>
    <n v="4"/>
    <x v="1"/>
    <x v="10"/>
    <n v="0"/>
    <n v="4"/>
    <n v="1"/>
    <n v="1"/>
    <n v="14439134"/>
  </r>
  <r>
    <n v="678"/>
    <d v="2019-11-09T00:00:00"/>
    <n v="4"/>
    <x v="1"/>
    <x v="10"/>
    <n v="0"/>
    <n v="5"/>
    <n v="1"/>
    <n v="1"/>
    <n v="14828347"/>
  </r>
  <r>
    <n v="679"/>
    <d v="2019-11-10T00:00:00"/>
    <n v="4"/>
    <x v="1"/>
    <x v="10"/>
    <n v="0"/>
    <n v="6"/>
    <n v="0"/>
    <n v="1"/>
    <n v="15955847"/>
  </r>
  <r>
    <n v="680"/>
    <d v="2019-11-11T00:00:00"/>
    <n v="4"/>
    <x v="1"/>
    <x v="10"/>
    <n v="0"/>
    <n v="0"/>
    <n v="0"/>
    <n v="1"/>
    <n v="17254153"/>
  </r>
  <r>
    <n v="681"/>
    <d v="2019-11-12T00:00:00"/>
    <n v="4"/>
    <x v="1"/>
    <x v="10"/>
    <n v="1"/>
    <n v="1"/>
    <n v="0"/>
    <n v="1"/>
    <n v="19885"/>
  </r>
  <r>
    <n v="682"/>
    <d v="2019-11-13T00:00:00"/>
    <n v="4"/>
    <x v="1"/>
    <x v="10"/>
    <n v="0"/>
    <n v="2"/>
    <n v="1"/>
    <n v="2"/>
    <n v="14076653"/>
  </r>
  <r>
    <n v="683"/>
    <d v="2019-11-14T00:00:00"/>
    <n v="4"/>
    <x v="1"/>
    <x v="10"/>
    <n v="0"/>
    <n v="3"/>
    <n v="1"/>
    <n v="1"/>
    <n v="11855847"/>
  </r>
  <r>
    <n v="684"/>
    <d v="2019-11-15T00:00:00"/>
    <n v="4"/>
    <x v="1"/>
    <x v="10"/>
    <n v="0"/>
    <n v="4"/>
    <n v="1"/>
    <n v="2"/>
    <n v="13188347"/>
  </r>
  <r>
    <n v="685"/>
    <d v="2019-11-16T00:00:00"/>
    <n v="4"/>
    <x v="1"/>
    <x v="10"/>
    <n v="0"/>
    <n v="5"/>
    <n v="1"/>
    <n v="1"/>
    <n v="14145"/>
  </r>
  <r>
    <n v="686"/>
    <d v="2019-11-17T00:00:00"/>
    <n v="4"/>
    <x v="1"/>
    <x v="10"/>
    <n v="0"/>
    <n v="6"/>
    <n v="0"/>
    <n v="1"/>
    <n v="13325"/>
  </r>
  <r>
    <n v="687"/>
    <d v="2019-11-18T00:00:00"/>
    <n v="4"/>
    <x v="1"/>
    <x v="10"/>
    <n v="0"/>
    <n v="0"/>
    <n v="0"/>
    <n v="1"/>
    <n v="140425"/>
  </r>
  <r>
    <n v="688"/>
    <d v="2019-11-19T00:00:00"/>
    <n v="4"/>
    <x v="1"/>
    <x v="10"/>
    <n v="0"/>
    <n v="1"/>
    <n v="1"/>
    <n v="2"/>
    <n v="15614153"/>
  </r>
  <r>
    <n v="689"/>
    <d v="2019-11-20T00:00:00"/>
    <n v="4"/>
    <x v="1"/>
    <x v="10"/>
    <n v="0"/>
    <n v="2"/>
    <n v="1"/>
    <n v="2"/>
    <n v="15340847"/>
  </r>
  <r>
    <n v="690"/>
    <d v="2019-11-21T00:00:00"/>
    <n v="4"/>
    <x v="1"/>
    <x v="10"/>
    <n v="0"/>
    <n v="3"/>
    <n v="1"/>
    <n v="1"/>
    <n v="14486653"/>
  </r>
  <r>
    <n v="691"/>
    <d v="2019-11-22T00:00:00"/>
    <n v="4"/>
    <x v="1"/>
    <x v="10"/>
    <n v="1"/>
    <n v="4"/>
    <n v="0"/>
    <n v="1"/>
    <s v="13.94"/>
  </r>
  <r>
    <n v="692"/>
    <d v="2019-11-23T00:00:00"/>
    <n v="4"/>
    <x v="1"/>
    <x v="10"/>
    <n v="0"/>
    <n v="5"/>
    <n v="1"/>
    <n v="1"/>
    <n v="15101653"/>
  </r>
  <r>
    <n v="693"/>
    <d v="2019-11-24T00:00:00"/>
    <n v="4"/>
    <x v="1"/>
    <x v="10"/>
    <n v="0"/>
    <n v="6"/>
    <n v="0"/>
    <n v="1"/>
    <n v="11411653"/>
  </r>
  <r>
    <n v="694"/>
    <d v="2019-11-25T00:00:00"/>
    <n v="4"/>
    <x v="1"/>
    <x v="10"/>
    <n v="0"/>
    <n v="0"/>
    <n v="0"/>
    <n v="1"/>
    <n v="10079153"/>
  </r>
  <r>
    <n v="695"/>
    <d v="2019-11-26T00:00:00"/>
    <n v="4"/>
    <x v="1"/>
    <x v="10"/>
    <n v="0"/>
    <n v="1"/>
    <n v="1"/>
    <n v="1"/>
    <n v="12846653"/>
  </r>
  <r>
    <n v="696"/>
    <d v="2019-11-27T00:00:00"/>
    <n v="4"/>
    <x v="1"/>
    <x v="10"/>
    <n v="0"/>
    <n v="2"/>
    <n v="1"/>
    <n v="2"/>
    <n v="11958347"/>
  </r>
  <r>
    <n v="697"/>
    <d v="2019-11-28T00:00:00"/>
    <n v="4"/>
    <x v="1"/>
    <x v="10"/>
    <n v="0"/>
    <n v="3"/>
    <n v="1"/>
    <n v="1"/>
    <n v="12163347"/>
  </r>
  <r>
    <n v="698"/>
    <d v="2019-11-29T00:00:00"/>
    <n v="4"/>
    <x v="1"/>
    <x v="10"/>
    <n v="0"/>
    <n v="4"/>
    <n v="1"/>
    <n v="1"/>
    <n v="1151567"/>
  </r>
  <r>
    <n v="699"/>
    <d v="2019-11-30T00:00:00"/>
    <n v="4"/>
    <x v="1"/>
    <x v="10"/>
    <n v="0"/>
    <n v="5"/>
    <n v="1"/>
    <n v="1"/>
    <n v="12231653"/>
  </r>
  <r>
    <n v="700"/>
    <d v="2019-12-01T00:00:00"/>
    <n v="4"/>
    <x v="1"/>
    <x v="11"/>
    <n v="0"/>
    <n v="6"/>
    <n v="0"/>
    <n v="2"/>
    <n v="12231653"/>
  </r>
  <r>
    <n v="701"/>
    <d v="2019-12-02T00:00:00"/>
    <n v="4"/>
    <x v="1"/>
    <x v="11"/>
    <n v="0"/>
    <n v="0"/>
    <n v="0"/>
    <n v="2"/>
    <n v="142475"/>
  </r>
  <r>
    <n v="702"/>
    <d v="2019-12-03T00:00:00"/>
    <n v="4"/>
    <x v="1"/>
    <x v="11"/>
    <n v="0"/>
    <n v="1"/>
    <n v="1"/>
    <n v="1"/>
    <n v="185525"/>
  </r>
  <r>
    <n v="703"/>
    <d v="2019-12-04T00:00:00"/>
    <n v="4"/>
    <x v="1"/>
    <x v="11"/>
    <n v="0"/>
    <n v="2"/>
    <n v="1"/>
    <n v="1"/>
    <n v="19509153"/>
  </r>
  <r>
    <n v="704"/>
    <d v="2019-12-05T00:00:00"/>
    <n v="4"/>
    <x v="1"/>
    <x v="11"/>
    <n v="0"/>
    <n v="3"/>
    <n v="1"/>
    <n v="1"/>
    <n v="17971653"/>
  </r>
  <r>
    <n v="705"/>
    <d v="2019-12-06T00:00:00"/>
    <n v="4"/>
    <x v="1"/>
    <x v="11"/>
    <n v="0"/>
    <n v="4"/>
    <n v="1"/>
    <n v="1"/>
    <n v="10489153"/>
  </r>
  <r>
    <n v="706"/>
    <d v="2019-12-07T00:00:00"/>
    <n v="4"/>
    <x v="1"/>
    <x v="11"/>
    <n v="0"/>
    <n v="5"/>
    <n v="1"/>
    <n v="2"/>
    <n v="13154153"/>
  </r>
  <r>
    <n v="707"/>
    <d v="2019-12-08T00:00:00"/>
    <n v="4"/>
    <x v="1"/>
    <x v="11"/>
    <n v="0"/>
    <n v="6"/>
    <n v="0"/>
    <n v="2"/>
    <n v="15648347"/>
  </r>
  <r>
    <n v="708"/>
    <d v="2019-12-09T00:00:00"/>
    <n v="4"/>
    <x v="1"/>
    <x v="11"/>
    <n v="0"/>
    <n v="0"/>
    <n v="0"/>
    <n v="2"/>
    <n v="15750847"/>
  </r>
  <r>
    <n v="709"/>
    <d v="2019-12-10T00:00:00"/>
    <n v="4"/>
    <x v="1"/>
    <x v="11"/>
    <n v="0"/>
    <n v="1"/>
    <n v="1"/>
    <n v="2"/>
    <n v="17869153"/>
  </r>
  <r>
    <n v="710"/>
    <d v="2019-12-11T00:00:00"/>
    <n v="4"/>
    <x v="1"/>
    <x v="11"/>
    <n v="0"/>
    <n v="2"/>
    <n v="1"/>
    <n v="2"/>
    <n v="14486653"/>
  </r>
  <r>
    <n v="711"/>
    <d v="2019-12-12T00:00:00"/>
    <n v="4"/>
    <x v="1"/>
    <x v="11"/>
    <n v="0"/>
    <n v="3"/>
    <n v="1"/>
    <n v="2"/>
    <n v="121975"/>
  </r>
  <r>
    <n v="712"/>
    <d v="2019-12-13T00:00:00"/>
    <n v="4"/>
    <x v="1"/>
    <x v="11"/>
    <n v="0"/>
    <n v="4"/>
    <n v="1"/>
    <n v="1"/>
    <n v="12129153"/>
  </r>
  <r>
    <n v="713"/>
    <d v="2019-12-14T00:00:00"/>
    <n v="4"/>
    <x v="1"/>
    <x v="11"/>
    <n v="0"/>
    <n v="5"/>
    <n v="1"/>
    <n v="1"/>
    <n v="11548347"/>
  </r>
  <r>
    <n v="714"/>
    <d v="2019-12-15T00:00:00"/>
    <n v="4"/>
    <x v="1"/>
    <x v="11"/>
    <n v="0"/>
    <n v="6"/>
    <n v="0"/>
    <n v="1"/>
    <n v="13290847"/>
  </r>
  <r>
    <n v="715"/>
    <d v="2019-12-16T00:00:00"/>
    <n v="4"/>
    <x v="1"/>
    <x v="11"/>
    <n v="0"/>
    <n v="0"/>
    <n v="0"/>
    <n v="2"/>
    <n v="148625"/>
  </r>
  <r>
    <n v="716"/>
    <d v="2019-12-17T00:00:00"/>
    <n v="4"/>
    <x v="1"/>
    <x v="11"/>
    <n v="0"/>
    <n v="1"/>
    <n v="1"/>
    <n v="2"/>
    <n v="16126653"/>
  </r>
  <r>
    <n v="717"/>
    <d v="2019-12-18T00:00:00"/>
    <n v="4"/>
    <x v="1"/>
    <x v="11"/>
    <n v="0"/>
    <n v="2"/>
    <n v="1"/>
    <n v="1"/>
    <n v="16844153"/>
  </r>
  <r>
    <n v="718"/>
    <d v="2019-12-19T00:00:00"/>
    <n v="4"/>
    <x v="1"/>
    <x v="11"/>
    <n v="0"/>
    <n v="3"/>
    <n v="1"/>
    <n v="1"/>
    <n v="136325"/>
  </r>
  <r>
    <n v="719"/>
    <d v="2019-12-20T00:00:00"/>
    <n v="4"/>
    <x v="1"/>
    <x v="11"/>
    <n v="0"/>
    <n v="4"/>
    <n v="1"/>
    <n v="2"/>
    <s v="13.53"/>
  </r>
  <r>
    <n v="720"/>
    <d v="2019-12-21T00:00:00"/>
    <n v="1"/>
    <x v="1"/>
    <x v="11"/>
    <n v="0"/>
    <n v="5"/>
    <n v="1"/>
    <n v="2"/>
    <n v="13393347"/>
  </r>
  <r>
    <n v="721"/>
    <d v="2019-12-22T00:00:00"/>
    <n v="1"/>
    <x v="1"/>
    <x v="11"/>
    <n v="0"/>
    <n v="6"/>
    <n v="0"/>
    <n v="1"/>
    <n v="10899153"/>
  </r>
  <r>
    <n v="722"/>
    <d v="2019-12-23T00:00:00"/>
    <n v="1"/>
    <x v="1"/>
    <x v="11"/>
    <n v="0"/>
    <n v="0"/>
    <n v="0"/>
    <n v="1"/>
    <n v="10079153"/>
  </r>
  <r>
    <n v="723"/>
    <d v="2019-12-24T00:00:00"/>
    <n v="1"/>
    <x v="1"/>
    <x v="11"/>
    <n v="0"/>
    <n v="1"/>
    <n v="1"/>
    <n v="2"/>
    <n v="9483464"/>
  </r>
  <r>
    <n v="724"/>
    <d v="2019-12-25T00:00:00"/>
    <n v="1"/>
    <x v="1"/>
    <x v="11"/>
    <n v="1"/>
    <n v="2"/>
    <n v="0"/>
    <n v="2"/>
    <n v="11943464"/>
  </r>
  <r>
    <n v="725"/>
    <d v="2019-12-26T00:00:00"/>
    <n v="1"/>
    <x v="1"/>
    <x v="11"/>
    <n v="0"/>
    <n v="3"/>
    <n v="1"/>
    <n v="3"/>
    <n v="9976653"/>
  </r>
  <r>
    <n v="726"/>
    <d v="2019-12-27T00:00:00"/>
    <n v="1"/>
    <x v="1"/>
    <x v="11"/>
    <n v="0"/>
    <n v="4"/>
    <n v="1"/>
    <n v="2"/>
    <n v="10420847"/>
  </r>
  <r>
    <n v="727"/>
    <d v="2019-12-28T00:00:00"/>
    <n v="1"/>
    <x v="1"/>
    <x v="11"/>
    <n v="0"/>
    <n v="5"/>
    <n v="1"/>
    <n v="2"/>
    <n v="10386653"/>
  </r>
  <r>
    <n v="728"/>
    <d v="2019-12-29T00:00:00"/>
    <n v="1"/>
    <x v="1"/>
    <x v="11"/>
    <n v="0"/>
    <n v="6"/>
    <n v="0"/>
    <n v="2"/>
    <n v="10386653"/>
  </r>
  <r>
    <n v="729"/>
    <d v="2019-12-30T00:00:00"/>
    <n v="1"/>
    <x v="1"/>
    <x v="11"/>
    <n v="0"/>
    <n v="0"/>
    <n v="0"/>
    <n v="1"/>
    <n v="10489153"/>
  </r>
  <r>
    <n v="730"/>
    <d v="2019-12-31T00:00:00"/>
    <n v="1"/>
    <x v="1"/>
    <x v="11"/>
    <n v="0"/>
    <n v="1"/>
    <n v="1"/>
    <n v="2"/>
    <n v="88491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C3763-1188-49A3-9817-8A1C212334FE}" name="TablaDinámica2" cacheId="1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2:B39" firstHeaderRow="1" firstDataRow="1" firstDataCol="1"/>
  <pivotFields count="10">
    <pivotField dataField="1" showAll="0"/>
    <pivotField numFmtId="14" showAll="0"/>
    <pivotField showAll="0"/>
    <pivotField axis="axisRow" showAll="0">
      <items count="3">
        <item n="2018" x="0"/>
        <item n="2019"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</pivotFields>
  <rowFields count="2">
    <field x="3"/>
    <field x="4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Cuenta de instant" fld="0" subtotal="count" baseField="3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82.81640625" bestFit="1" customWidth="1"/>
    <col min="2" max="2" width="59.90625" bestFit="1" customWidth="1"/>
  </cols>
  <sheetData>
    <row r="1" spans="1:2" ht="18.5" x14ac:dyDescent="0.45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  <c r="B4" s="3" t="s">
        <v>3</v>
      </c>
    </row>
    <row r="5" spans="1:2" x14ac:dyDescent="0.35">
      <c r="A5" t="s">
        <v>4</v>
      </c>
      <c r="B5" t="s">
        <v>5</v>
      </c>
    </row>
    <row r="6" spans="1:2" x14ac:dyDescent="0.35">
      <c r="A6" t="s">
        <v>6</v>
      </c>
      <c r="B6" t="s">
        <v>7</v>
      </c>
    </row>
    <row r="7" spans="1:2" x14ac:dyDescent="0.35">
      <c r="A7" t="s">
        <v>8</v>
      </c>
      <c r="B7" t="s">
        <v>9</v>
      </c>
    </row>
    <row r="8" spans="1:2" x14ac:dyDescent="0.35">
      <c r="A8" t="s">
        <v>10</v>
      </c>
      <c r="B8" t="s">
        <v>11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14</v>
      </c>
      <c r="B1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1"/>
  <sheetViews>
    <sheetView topLeftCell="A712" workbookViewId="0">
      <selection activeCell="L11" sqref="L11"/>
    </sheetView>
  </sheetViews>
  <sheetFormatPr baseColWidth="10" defaultColWidth="8.7265625" defaultRowHeight="14.5" x14ac:dyDescent="0.35"/>
  <cols>
    <col min="2" max="2" width="10.453125" bestFit="1" customWidth="1"/>
    <col min="10" max="10" width="9.90625" bestFit="1" customWidth="1"/>
  </cols>
  <sheetData>
    <row r="1" spans="1:10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35">
      <c r="A2">
        <v>1</v>
      </c>
      <c r="B2" s="6">
        <v>43101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 s="7">
        <v>14110847</v>
      </c>
    </row>
    <row r="3" spans="1:10" x14ac:dyDescent="0.35">
      <c r="A3">
        <v>2</v>
      </c>
      <c r="B3" s="6">
        <v>43102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 s="7">
        <v>14902598</v>
      </c>
    </row>
    <row r="4" spans="1:10" x14ac:dyDescent="0.35">
      <c r="A4">
        <v>3</v>
      </c>
      <c r="B4" s="6">
        <v>43103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 s="7">
        <v>8050924</v>
      </c>
    </row>
    <row r="5" spans="1:10" x14ac:dyDescent="0.35">
      <c r="A5">
        <v>4</v>
      </c>
      <c r="B5" s="6">
        <v>43104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 t="s">
        <v>58</v>
      </c>
    </row>
    <row r="6" spans="1:10" x14ac:dyDescent="0.35">
      <c r="A6">
        <v>5</v>
      </c>
      <c r="B6" s="6">
        <v>43105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 s="7">
        <v>9305237</v>
      </c>
    </row>
    <row r="7" spans="1:10" x14ac:dyDescent="0.35">
      <c r="A7">
        <v>6</v>
      </c>
      <c r="B7" s="6">
        <v>43106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 s="7">
        <v>8378268</v>
      </c>
    </row>
    <row r="8" spans="1:10" x14ac:dyDescent="0.35">
      <c r="A8">
        <v>7</v>
      </c>
      <c r="B8" s="6">
        <v>43107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 s="7">
        <v>8057402</v>
      </c>
    </row>
    <row r="9" spans="1:10" x14ac:dyDescent="0.35">
      <c r="A9">
        <v>8</v>
      </c>
      <c r="B9" s="6">
        <v>43108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 s="7">
        <v>6765</v>
      </c>
    </row>
    <row r="10" spans="1:10" x14ac:dyDescent="0.35">
      <c r="A10">
        <v>9</v>
      </c>
      <c r="B10" s="6">
        <v>43109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 s="7">
        <v>5671653</v>
      </c>
    </row>
    <row r="11" spans="1:10" x14ac:dyDescent="0.35">
      <c r="A11">
        <v>10</v>
      </c>
      <c r="B11" s="6">
        <v>43110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 s="7">
        <v>6184153</v>
      </c>
    </row>
    <row r="12" spans="1:10" x14ac:dyDescent="0.35">
      <c r="A12">
        <v>11</v>
      </c>
      <c r="B12" s="6">
        <v>43111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 s="7">
        <v>6932731</v>
      </c>
    </row>
    <row r="13" spans="1:10" x14ac:dyDescent="0.35">
      <c r="A13">
        <v>12</v>
      </c>
      <c r="B13" s="6">
        <v>43112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 s="7">
        <v>7081807</v>
      </c>
    </row>
    <row r="14" spans="1:10" x14ac:dyDescent="0.35">
      <c r="A14">
        <v>13</v>
      </c>
      <c r="B14" s="6">
        <v>43113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 s="7">
        <v>6765</v>
      </c>
    </row>
    <row r="15" spans="1:10" x14ac:dyDescent="0.35">
      <c r="A15">
        <v>14</v>
      </c>
      <c r="B15" s="6">
        <v>43114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 s="7">
        <v>659567</v>
      </c>
    </row>
    <row r="16" spans="1:10" x14ac:dyDescent="0.35">
      <c r="A16">
        <v>15</v>
      </c>
      <c r="B16" s="6">
        <v>43115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 s="7">
        <v>9566653</v>
      </c>
    </row>
    <row r="17" spans="1:10" x14ac:dyDescent="0.35">
      <c r="A17">
        <v>16</v>
      </c>
      <c r="B17" s="6">
        <v>43116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 s="7">
        <v>9498347</v>
      </c>
    </row>
    <row r="18" spans="1:10" x14ac:dyDescent="0.35">
      <c r="A18">
        <v>17</v>
      </c>
      <c r="B18" s="6">
        <v>43117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 s="7">
        <v>7209153</v>
      </c>
    </row>
    <row r="19" spans="1:10" x14ac:dyDescent="0.35">
      <c r="A19">
        <v>18</v>
      </c>
      <c r="B19" s="6">
        <v>43118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 s="7">
        <v>8883347</v>
      </c>
    </row>
    <row r="20" spans="1:10" x14ac:dyDescent="0.35">
      <c r="A20">
        <v>19</v>
      </c>
      <c r="B20" s="6">
        <v>43119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 s="7">
        <v>11979134</v>
      </c>
    </row>
    <row r="21" spans="1:10" x14ac:dyDescent="0.35">
      <c r="A21">
        <v>20</v>
      </c>
      <c r="B21" s="6">
        <v>43120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 s="7">
        <v>10728347</v>
      </c>
    </row>
    <row r="22" spans="1:10" x14ac:dyDescent="0.35">
      <c r="A22">
        <v>21</v>
      </c>
      <c r="B22" s="6">
        <v>43121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 s="7">
        <v>72775</v>
      </c>
    </row>
    <row r="23" spans="1:10" x14ac:dyDescent="0.35">
      <c r="A23">
        <v>22</v>
      </c>
      <c r="B23" s="6">
        <v>43122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 s="7">
        <v>24243464</v>
      </c>
    </row>
    <row r="24" spans="1:10" x14ac:dyDescent="0.35">
      <c r="A24">
        <v>23</v>
      </c>
      <c r="B24" s="6">
        <v>43123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 s="7">
        <v>39573897</v>
      </c>
    </row>
    <row r="25" spans="1:10" x14ac:dyDescent="0.35">
      <c r="A25">
        <v>24</v>
      </c>
      <c r="B25" s="6">
        <v>43124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 s="7">
        <v>39930433</v>
      </c>
    </row>
    <row r="26" spans="1:10" x14ac:dyDescent="0.35">
      <c r="A26">
        <v>25</v>
      </c>
      <c r="B26" s="6">
        <v>43125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 s="7">
        <v>9162598</v>
      </c>
    </row>
    <row r="27" spans="1:10" x14ac:dyDescent="0.35">
      <c r="A27">
        <v>26</v>
      </c>
      <c r="B27" s="6">
        <v>43126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 s="7">
        <v>89175</v>
      </c>
    </row>
    <row r="28" spans="1:10" x14ac:dyDescent="0.35">
      <c r="A28">
        <v>27</v>
      </c>
      <c r="B28" s="6">
        <v>43127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 s="7">
        <v>7995</v>
      </c>
    </row>
    <row r="29" spans="1:10" x14ac:dyDescent="0.35">
      <c r="A29">
        <v>28</v>
      </c>
      <c r="B29" s="6">
        <v>43128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 s="7">
        <v>8342598</v>
      </c>
    </row>
    <row r="30" spans="1:10" x14ac:dyDescent="0.35">
      <c r="A30">
        <v>29</v>
      </c>
      <c r="B30" s="6">
        <v>43129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 s="7">
        <v>8057402</v>
      </c>
    </row>
    <row r="31" spans="1:10" x14ac:dyDescent="0.35">
      <c r="A31">
        <v>30</v>
      </c>
      <c r="B31" s="6">
        <v>43130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 s="7">
        <v>8877402</v>
      </c>
    </row>
    <row r="32" spans="1:10" x14ac:dyDescent="0.35">
      <c r="A32">
        <v>31</v>
      </c>
      <c r="B32" s="6">
        <v>43131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 s="7">
        <v>7414153</v>
      </c>
    </row>
    <row r="33" spans="1:10" x14ac:dyDescent="0.35">
      <c r="A33">
        <v>32</v>
      </c>
      <c r="B33" s="6">
        <v>43132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 s="7">
        <v>7879134</v>
      </c>
    </row>
    <row r="34" spans="1:10" x14ac:dyDescent="0.35">
      <c r="A34">
        <v>33</v>
      </c>
      <c r="B34" s="6">
        <v>43133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 t="s">
        <v>59</v>
      </c>
    </row>
    <row r="35" spans="1:10" x14ac:dyDescent="0.35">
      <c r="A35">
        <v>34</v>
      </c>
      <c r="B35" s="6">
        <v>43134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 s="7">
        <v>7665237</v>
      </c>
    </row>
    <row r="36" spans="1:10" x14ac:dyDescent="0.35">
      <c r="A36">
        <v>35</v>
      </c>
      <c r="B36" s="6">
        <v>43135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 s="7">
        <v>8663464</v>
      </c>
    </row>
    <row r="37" spans="1:10" x14ac:dyDescent="0.35">
      <c r="A37">
        <v>36</v>
      </c>
      <c r="B37" s="6">
        <v>43136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 s="7">
        <v>9566653</v>
      </c>
    </row>
    <row r="38" spans="1:10" x14ac:dyDescent="0.35">
      <c r="A38">
        <v>37</v>
      </c>
      <c r="B38" s="6">
        <v>43137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 s="7">
        <v>11719153</v>
      </c>
    </row>
    <row r="39" spans="1:10" x14ac:dyDescent="0.35">
      <c r="A39">
        <v>38</v>
      </c>
      <c r="B39" s="6">
        <v>43138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 s="7">
        <v>11138347</v>
      </c>
    </row>
    <row r="40" spans="1:10" x14ac:dyDescent="0.35">
      <c r="A40">
        <v>39</v>
      </c>
      <c r="B40" s="6">
        <v>43139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 s="7">
        <v>9054153</v>
      </c>
    </row>
    <row r="41" spans="1:10" x14ac:dyDescent="0.35">
      <c r="A41">
        <v>40</v>
      </c>
      <c r="B41" s="6">
        <v>43140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 s="7">
        <v>5526103</v>
      </c>
    </row>
    <row r="42" spans="1:10" x14ac:dyDescent="0.35">
      <c r="A42">
        <v>41</v>
      </c>
      <c r="B42" s="6">
        <v>43141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 s="7">
        <v>5918268</v>
      </c>
    </row>
    <row r="43" spans="1:10" x14ac:dyDescent="0.35">
      <c r="A43">
        <v>42</v>
      </c>
      <c r="B43" s="6">
        <v>43142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 s="7">
        <v>7752731</v>
      </c>
    </row>
    <row r="44" spans="1:10" x14ac:dyDescent="0.35">
      <c r="A44">
        <v>43</v>
      </c>
      <c r="B44" s="6">
        <v>43143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 s="7">
        <v>91225</v>
      </c>
    </row>
    <row r="45" spans="1:10" x14ac:dyDescent="0.35">
      <c r="A45">
        <v>44</v>
      </c>
      <c r="B45" s="6">
        <v>43144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 s="7">
        <v>12977402</v>
      </c>
    </row>
    <row r="46" spans="1:10" x14ac:dyDescent="0.35">
      <c r="A46">
        <v>45</v>
      </c>
      <c r="B46" s="6">
        <v>43145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 s="7">
        <v>17015</v>
      </c>
    </row>
    <row r="47" spans="1:10" x14ac:dyDescent="0.35">
      <c r="A47">
        <v>46</v>
      </c>
      <c r="B47" s="6">
        <v>43146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 s="7">
        <v>10909567</v>
      </c>
    </row>
    <row r="48" spans="1:10" x14ac:dyDescent="0.35">
      <c r="A48">
        <v>47</v>
      </c>
      <c r="B48" s="6">
        <v>43147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 s="7">
        <v>13048701</v>
      </c>
    </row>
    <row r="49" spans="1:10" x14ac:dyDescent="0.35">
      <c r="A49">
        <v>48</v>
      </c>
      <c r="B49" s="6">
        <v>43148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 s="7">
        <v>17869153</v>
      </c>
    </row>
    <row r="50" spans="1:10" x14ac:dyDescent="0.35">
      <c r="A50">
        <v>49</v>
      </c>
      <c r="B50" s="6">
        <v>43149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 s="7">
        <v>21388347</v>
      </c>
    </row>
    <row r="51" spans="1:10" x14ac:dyDescent="0.35">
      <c r="A51">
        <v>50</v>
      </c>
      <c r="B51" s="6">
        <v>43150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 s="7">
        <v>16365847</v>
      </c>
    </row>
    <row r="52" spans="1:10" x14ac:dyDescent="0.35">
      <c r="A52">
        <v>51</v>
      </c>
      <c r="B52" s="6">
        <v>43151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 s="7">
        <v>11693897</v>
      </c>
    </row>
    <row r="53" spans="1:10" x14ac:dyDescent="0.35">
      <c r="A53">
        <v>52</v>
      </c>
      <c r="B53" s="6">
        <v>43152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 s="7">
        <v>12436653</v>
      </c>
    </row>
    <row r="54" spans="1:10" x14ac:dyDescent="0.35">
      <c r="A54">
        <v>53</v>
      </c>
      <c r="B54" s="6">
        <v>43153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 s="7">
        <v>7471102</v>
      </c>
    </row>
    <row r="55" spans="1:10" x14ac:dyDescent="0.35">
      <c r="A55">
        <v>54</v>
      </c>
      <c r="B55" s="6">
        <v>43154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 s="7">
        <v>9091299</v>
      </c>
    </row>
    <row r="56" spans="1:10" x14ac:dyDescent="0.35">
      <c r="A56">
        <v>55</v>
      </c>
      <c r="B56" s="6">
        <v>43155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 s="7">
        <v>12121732</v>
      </c>
    </row>
    <row r="57" spans="1:10" x14ac:dyDescent="0.35">
      <c r="A57">
        <v>56</v>
      </c>
      <c r="B57" s="6">
        <v>43156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 s="7">
        <v>14938268</v>
      </c>
    </row>
    <row r="58" spans="1:10" x14ac:dyDescent="0.35">
      <c r="A58">
        <v>57</v>
      </c>
      <c r="B58" s="6">
        <v>43157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 s="7">
        <v>115825</v>
      </c>
    </row>
    <row r="59" spans="1:10" x14ac:dyDescent="0.35">
      <c r="A59">
        <v>58</v>
      </c>
      <c r="B59" s="6">
        <v>43158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 s="7">
        <v>14082598</v>
      </c>
    </row>
    <row r="60" spans="1:10" x14ac:dyDescent="0.35">
      <c r="A60">
        <v>59</v>
      </c>
      <c r="B60" s="6">
        <v>43159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 s="7">
        <v>16698193</v>
      </c>
    </row>
    <row r="61" spans="1:10" x14ac:dyDescent="0.35">
      <c r="A61">
        <v>60</v>
      </c>
      <c r="B61" s="6">
        <v>43160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 s="7">
        <v>10933347</v>
      </c>
    </row>
    <row r="62" spans="1:10" x14ac:dyDescent="0.35">
      <c r="A62">
        <v>61</v>
      </c>
      <c r="B62" s="6">
        <v>43161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 s="7">
        <v>13735</v>
      </c>
    </row>
    <row r="63" spans="1:10" x14ac:dyDescent="0.35">
      <c r="A63">
        <v>62</v>
      </c>
      <c r="B63" s="6">
        <v>43162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 s="7">
        <v>8131653</v>
      </c>
    </row>
    <row r="64" spans="1:10" x14ac:dyDescent="0.35">
      <c r="A64">
        <v>63</v>
      </c>
      <c r="B64" s="6">
        <v>43163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 s="7">
        <v>10728347</v>
      </c>
    </row>
    <row r="65" spans="1:10" x14ac:dyDescent="0.35">
      <c r="A65">
        <v>64</v>
      </c>
      <c r="B65" s="6">
        <v>43164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 s="7">
        <v>15750847</v>
      </c>
    </row>
    <row r="66" spans="1:10" x14ac:dyDescent="0.35">
      <c r="A66">
        <v>65</v>
      </c>
      <c r="B66" s="6">
        <v>43165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 s="7">
        <v>15437402</v>
      </c>
    </row>
    <row r="67" spans="1:10" x14ac:dyDescent="0.35">
      <c r="A67">
        <v>66</v>
      </c>
      <c r="B67" s="6">
        <v>43166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 s="7">
        <v>10731299</v>
      </c>
    </row>
    <row r="68" spans="1:10" x14ac:dyDescent="0.35">
      <c r="A68">
        <v>67</v>
      </c>
      <c r="B68" s="6">
        <v>43167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 s="7">
        <v>119925</v>
      </c>
    </row>
    <row r="69" spans="1:10" x14ac:dyDescent="0.35">
      <c r="A69">
        <v>68</v>
      </c>
      <c r="B69" s="6">
        <v>43168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 s="7">
        <v>12129153</v>
      </c>
    </row>
    <row r="70" spans="1:10" x14ac:dyDescent="0.35">
      <c r="A70">
        <v>69</v>
      </c>
      <c r="B70" s="6">
        <v>43169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 s="7">
        <v>15952731</v>
      </c>
    </row>
    <row r="71" spans="1:10" x14ac:dyDescent="0.35">
      <c r="A71">
        <v>70</v>
      </c>
      <c r="B71" s="6">
        <v>43170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 s="7">
        <v>12977402</v>
      </c>
    </row>
    <row r="72" spans="1:10" x14ac:dyDescent="0.35">
      <c r="A72">
        <v>71</v>
      </c>
      <c r="B72" s="6">
        <v>43171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 s="7">
        <v>13495847</v>
      </c>
    </row>
    <row r="73" spans="1:10" x14ac:dyDescent="0.35">
      <c r="A73">
        <v>72</v>
      </c>
      <c r="B73" s="6">
        <v>43172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 s="7">
        <v>15758268</v>
      </c>
    </row>
    <row r="74" spans="1:10" x14ac:dyDescent="0.35">
      <c r="A74">
        <v>73</v>
      </c>
      <c r="B74" s="6">
        <v>43173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 s="7">
        <v>13333897</v>
      </c>
    </row>
    <row r="75" spans="1:10" x14ac:dyDescent="0.35">
      <c r="A75">
        <v>74</v>
      </c>
      <c r="B75" s="6">
        <v>43174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 s="7">
        <v>13013031</v>
      </c>
    </row>
    <row r="76" spans="1:10" x14ac:dyDescent="0.35">
      <c r="A76">
        <v>75</v>
      </c>
      <c r="B76" s="6">
        <v>43175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 s="7">
        <v>14973897</v>
      </c>
    </row>
    <row r="77" spans="1:10" x14ac:dyDescent="0.35">
      <c r="A77">
        <v>76</v>
      </c>
      <c r="B77" s="6">
        <v>43176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 s="7">
        <v>17015</v>
      </c>
    </row>
    <row r="78" spans="1:10" x14ac:dyDescent="0.35">
      <c r="A78">
        <v>77</v>
      </c>
      <c r="B78" s="6">
        <v>43177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 t="s">
        <v>60</v>
      </c>
    </row>
    <row r="79" spans="1:10" x14ac:dyDescent="0.35">
      <c r="A79">
        <v>78</v>
      </c>
      <c r="B79" s="6">
        <v>43178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 s="7">
        <v>193725</v>
      </c>
    </row>
    <row r="80" spans="1:10" x14ac:dyDescent="0.35">
      <c r="A80">
        <v>79</v>
      </c>
      <c r="B80" s="6">
        <v>43179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 s="7">
        <v>136325</v>
      </c>
    </row>
    <row r="81" spans="1:10" x14ac:dyDescent="0.35">
      <c r="A81">
        <v>80</v>
      </c>
      <c r="B81" s="6">
        <v>43180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 s="7">
        <v>17647835</v>
      </c>
    </row>
    <row r="82" spans="1:10" x14ac:dyDescent="0.35">
      <c r="A82">
        <v>81</v>
      </c>
      <c r="B82" s="6">
        <v>43181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 s="7">
        <v>18108347</v>
      </c>
    </row>
    <row r="83" spans="1:10" x14ac:dyDescent="0.35">
      <c r="A83">
        <v>82</v>
      </c>
      <c r="B83" s="6">
        <v>43182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 s="7">
        <v>14225237</v>
      </c>
    </row>
    <row r="84" spans="1:10" x14ac:dyDescent="0.35">
      <c r="A84">
        <v>83</v>
      </c>
      <c r="B84" s="6">
        <v>43183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 s="7">
        <v>11685</v>
      </c>
    </row>
    <row r="85" spans="1:10" x14ac:dyDescent="0.35">
      <c r="A85">
        <v>84</v>
      </c>
      <c r="B85" s="6">
        <v>43184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 s="7">
        <v>10830847</v>
      </c>
    </row>
    <row r="86" spans="1:10" x14ac:dyDescent="0.35">
      <c r="A86">
        <v>85</v>
      </c>
      <c r="B86" s="6">
        <v>43185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 s="7">
        <v>10899153</v>
      </c>
    </row>
    <row r="87" spans="1:10" x14ac:dyDescent="0.35">
      <c r="A87">
        <v>86</v>
      </c>
      <c r="B87" s="6">
        <v>43186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 s="7">
        <v>10374763</v>
      </c>
    </row>
    <row r="88" spans="1:10" x14ac:dyDescent="0.35">
      <c r="A88">
        <v>87</v>
      </c>
      <c r="B88" s="6">
        <v>43187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 s="7">
        <v>10838268</v>
      </c>
    </row>
    <row r="89" spans="1:10" x14ac:dyDescent="0.35">
      <c r="A89">
        <v>88</v>
      </c>
      <c r="B89" s="6">
        <v>43188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 s="7">
        <v>124025</v>
      </c>
    </row>
    <row r="90" spans="1:10" x14ac:dyDescent="0.35">
      <c r="A90">
        <v>89</v>
      </c>
      <c r="B90" s="6">
        <v>43189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 t="s">
        <v>61</v>
      </c>
    </row>
    <row r="91" spans="1:10" x14ac:dyDescent="0.35">
      <c r="A91">
        <v>90</v>
      </c>
      <c r="B91" s="6">
        <v>43190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 s="7">
        <v>11001653</v>
      </c>
    </row>
    <row r="92" spans="1:10" x14ac:dyDescent="0.35">
      <c r="A92">
        <v>91</v>
      </c>
      <c r="B92" s="6">
        <v>43191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 t="s">
        <v>61</v>
      </c>
    </row>
    <row r="93" spans="1:10" x14ac:dyDescent="0.35">
      <c r="A93">
        <v>92</v>
      </c>
      <c r="B93" s="6">
        <v>43192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 s="7">
        <v>12915</v>
      </c>
    </row>
    <row r="94" spans="1:10" x14ac:dyDescent="0.35">
      <c r="A94">
        <v>93</v>
      </c>
      <c r="B94" s="6">
        <v>43193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 s="7">
        <v>15511653</v>
      </c>
    </row>
    <row r="95" spans="1:10" x14ac:dyDescent="0.35">
      <c r="A95">
        <v>94</v>
      </c>
      <c r="B95" s="6">
        <v>43194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 s="7">
        <v>23506653</v>
      </c>
    </row>
    <row r="96" spans="1:10" x14ac:dyDescent="0.35">
      <c r="A96">
        <v>95</v>
      </c>
      <c r="B96" s="6">
        <v>43195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 s="7">
        <v>16980847</v>
      </c>
    </row>
    <row r="97" spans="1:10" x14ac:dyDescent="0.35">
      <c r="A97">
        <v>96</v>
      </c>
      <c r="B97" s="6">
        <v>43196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 s="7">
        <v>16024153</v>
      </c>
    </row>
    <row r="98" spans="1:10" x14ac:dyDescent="0.35">
      <c r="A98">
        <v>97</v>
      </c>
      <c r="B98" s="6">
        <v>43197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 s="7">
        <v>179375</v>
      </c>
    </row>
    <row r="99" spans="1:10" x14ac:dyDescent="0.35">
      <c r="A99">
        <v>98</v>
      </c>
      <c r="B99" s="6">
        <v>43198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 s="7">
        <v>13769153</v>
      </c>
    </row>
    <row r="100" spans="1:10" x14ac:dyDescent="0.35">
      <c r="A100">
        <v>99</v>
      </c>
      <c r="B100" s="6">
        <v>43199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 s="7">
        <v>140425</v>
      </c>
    </row>
    <row r="101" spans="1:10" x14ac:dyDescent="0.35">
      <c r="A101">
        <v>100</v>
      </c>
      <c r="B101" s="6">
        <v>43200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 s="7">
        <v>17493347</v>
      </c>
    </row>
    <row r="102" spans="1:10" x14ac:dyDescent="0.35">
      <c r="A102">
        <v>101</v>
      </c>
      <c r="B102" s="6">
        <v>43201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 s="7">
        <v>24421732</v>
      </c>
    </row>
    <row r="103" spans="1:10" x14ac:dyDescent="0.35">
      <c r="A103">
        <v>102</v>
      </c>
      <c r="B103" s="6">
        <v>43202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 s="7">
        <v>206025</v>
      </c>
    </row>
    <row r="104" spans="1:10" x14ac:dyDescent="0.35">
      <c r="A104">
        <v>103</v>
      </c>
      <c r="B104" s="6">
        <v>43203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 s="7">
        <v>169125</v>
      </c>
    </row>
    <row r="105" spans="1:10" x14ac:dyDescent="0.35">
      <c r="A105">
        <v>104</v>
      </c>
      <c r="B105" s="6">
        <v>43204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 s="7">
        <v>191675</v>
      </c>
    </row>
    <row r="106" spans="1:10" x14ac:dyDescent="0.35">
      <c r="A106">
        <v>105</v>
      </c>
      <c r="B106" s="6">
        <v>43205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 s="7">
        <v>18313347</v>
      </c>
    </row>
    <row r="107" spans="1:10" x14ac:dyDescent="0.35">
      <c r="A107">
        <v>106</v>
      </c>
      <c r="B107" s="6">
        <v>43206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 s="7">
        <v>17664153</v>
      </c>
    </row>
    <row r="108" spans="1:10" x14ac:dyDescent="0.35">
      <c r="A108">
        <v>107</v>
      </c>
      <c r="B108" s="6">
        <v>43207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 s="7">
        <v>18723347</v>
      </c>
    </row>
    <row r="109" spans="1:10" x14ac:dyDescent="0.35">
      <c r="A109">
        <v>108</v>
      </c>
      <c r="B109" s="6">
        <v>43208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 s="7">
        <v>210125</v>
      </c>
    </row>
    <row r="110" spans="1:10" x14ac:dyDescent="0.35">
      <c r="A110">
        <v>109</v>
      </c>
      <c r="B110" s="6">
        <v>43209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 s="7">
        <v>20739153</v>
      </c>
    </row>
    <row r="111" spans="1:10" x14ac:dyDescent="0.35">
      <c r="A111">
        <v>110</v>
      </c>
      <c r="B111" s="6">
        <v>43210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 s="7">
        <v>24395</v>
      </c>
    </row>
    <row r="112" spans="1:10" x14ac:dyDescent="0.35">
      <c r="A112">
        <v>111</v>
      </c>
      <c r="B112" s="6">
        <v>43211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 s="7">
        <v>18825847</v>
      </c>
    </row>
    <row r="113" spans="1:10" x14ac:dyDescent="0.35">
      <c r="A113">
        <v>112</v>
      </c>
      <c r="B113" s="6">
        <v>43212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 s="7">
        <v>13803347</v>
      </c>
    </row>
    <row r="114" spans="1:10" x14ac:dyDescent="0.35">
      <c r="A114">
        <v>113</v>
      </c>
      <c r="B114" s="6">
        <v>43213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 t="s">
        <v>62</v>
      </c>
    </row>
    <row r="115" spans="1:10" x14ac:dyDescent="0.35">
      <c r="A115">
        <v>114</v>
      </c>
      <c r="B115" s="6">
        <v>43214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 s="7">
        <v>23848347</v>
      </c>
    </row>
    <row r="116" spans="1:10" x14ac:dyDescent="0.35">
      <c r="A116">
        <v>115</v>
      </c>
      <c r="B116" s="6">
        <v>43215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 s="7">
        <v>24873347</v>
      </c>
    </row>
    <row r="117" spans="1:10" x14ac:dyDescent="0.35">
      <c r="A117">
        <v>116</v>
      </c>
      <c r="B117" s="6">
        <v>43216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 s="7">
        <v>25898347</v>
      </c>
    </row>
    <row r="118" spans="1:10" x14ac:dyDescent="0.35">
      <c r="A118">
        <v>117</v>
      </c>
      <c r="B118" s="6">
        <v>43217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 t="s">
        <v>63</v>
      </c>
    </row>
    <row r="119" spans="1:10" x14ac:dyDescent="0.35">
      <c r="A119">
        <v>118</v>
      </c>
      <c r="B119" s="6">
        <v>43218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 s="7">
        <v>253175</v>
      </c>
    </row>
    <row r="120" spans="1:10" x14ac:dyDescent="0.35">
      <c r="A120">
        <v>119</v>
      </c>
      <c r="B120" s="6">
        <v>43219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 t="s">
        <v>64</v>
      </c>
    </row>
    <row r="121" spans="1:10" x14ac:dyDescent="0.35">
      <c r="A121">
        <v>120</v>
      </c>
      <c r="B121" s="6">
        <v>43220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 s="7">
        <v>193725</v>
      </c>
    </row>
    <row r="122" spans="1:10" x14ac:dyDescent="0.35">
      <c r="A122">
        <v>121</v>
      </c>
      <c r="B122" s="6">
        <v>43221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 s="7">
        <v>18518347</v>
      </c>
    </row>
    <row r="123" spans="1:10" x14ac:dyDescent="0.35">
      <c r="A123">
        <v>122</v>
      </c>
      <c r="B123" s="6">
        <v>43222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 s="7">
        <v>22515847</v>
      </c>
    </row>
    <row r="124" spans="1:10" x14ac:dyDescent="0.35">
      <c r="A124">
        <v>123</v>
      </c>
      <c r="B124" s="6">
        <v>43223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 s="7">
        <v>25283347</v>
      </c>
    </row>
    <row r="125" spans="1:10" x14ac:dyDescent="0.35">
      <c r="A125">
        <v>124</v>
      </c>
      <c r="B125" s="6">
        <v>43224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 s="7">
        <v>16980847</v>
      </c>
    </row>
    <row r="126" spans="1:10" x14ac:dyDescent="0.35">
      <c r="A126">
        <v>125</v>
      </c>
      <c r="B126" s="6">
        <v>43225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 s="7">
        <v>18825847</v>
      </c>
    </row>
    <row r="127" spans="1:10" x14ac:dyDescent="0.35">
      <c r="A127">
        <v>126</v>
      </c>
      <c r="B127" s="6">
        <v>43226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 s="7">
        <v>19645847</v>
      </c>
    </row>
    <row r="128" spans="1:10" x14ac:dyDescent="0.35">
      <c r="A128">
        <v>127</v>
      </c>
      <c r="B128" s="6">
        <v>43227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 t="s">
        <v>65</v>
      </c>
    </row>
    <row r="129" spans="1:10" x14ac:dyDescent="0.35">
      <c r="A129">
        <v>128</v>
      </c>
      <c r="B129" s="6">
        <v>43228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 s="7">
        <v>21661653</v>
      </c>
    </row>
    <row r="130" spans="1:10" x14ac:dyDescent="0.35">
      <c r="A130">
        <v>129</v>
      </c>
      <c r="B130" s="6">
        <v>43229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 s="7">
        <v>218325</v>
      </c>
    </row>
    <row r="131" spans="1:10" x14ac:dyDescent="0.35">
      <c r="A131">
        <v>130</v>
      </c>
      <c r="B131" s="6">
        <v>43230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 s="7">
        <v>218325</v>
      </c>
    </row>
    <row r="132" spans="1:10" x14ac:dyDescent="0.35">
      <c r="A132">
        <v>131</v>
      </c>
      <c r="B132" s="6">
        <v>43231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 s="7">
        <v>222425</v>
      </c>
    </row>
    <row r="133" spans="1:10" x14ac:dyDescent="0.35">
      <c r="A133">
        <v>132</v>
      </c>
      <c r="B133" s="6">
        <v>43232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 s="7">
        <v>21935</v>
      </c>
    </row>
    <row r="134" spans="1:10" x14ac:dyDescent="0.35">
      <c r="A134">
        <v>133</v>
      </c>
      <c r="B134" s="6">
        <v>43233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 s="7">
        <v>210125</v>
      </c>
    </row>
    <row r="135" spans="1:10" x14ac:dyDescent="0.35">
      <c r="A135">
        <v>134</v>
      </c>
      <c r="B135" s="6">
        <v>43234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 s="7">
        <v>21354153</v>
      </c>
    </row>
    <row r="136" spans="1:10" x14ac:dyDescent="0.35">
      <c r="A136">
        <v>135</v>
      </c>
      <c r="B136" s="6">
        <v>43235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 s="7">
        <v>230625</v>
      </c>
    </row>
    <row r="137" spans="1:10" x14ac:dyDescent="0.35">
      <c r="A137">
        <v>136</v>
      </c>
      <c r="B137" s="6">
        <v>43236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 s="7">
        <v>236775</v>
      </c>
    </row>
    <row r="138" spans="1:10" x14ac:dyDescent="0.35">
      <c r="A138">
        <v>137</v>
      </c>
      <c r="B138" s="6">
        <v>43237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 s="7">
        <v>23028347</v>
      </c>
    </row>
    <row r="139" spans="1:10" x14ac:dyDescent="0.35">
      <c r="A139">
        <v>138</v>
      </c>
      <c r="B139" s="6">
        <v>43238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 t="s">
        <v>66</v>
      </c>
    </row>
    <row r="140" spans="1:10" x14ac:dyDescent="0.35">
      <c r="A140">
        <v>139</v>
      </c>
      <c r="B140" s="6">
        <v>43239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 s="7">
        <v>21764153</v>
      </c>
    </row>
    <row r="141" spans="1:10" x14ac:dyDescent="0.35">
      <c r="A141">
        <v>140</v>
      </c>
      <c r="B141" s="6">
        <v>43240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 s="7">
        <v>22003347</v>
      </c>
    </row>
    <row r="142" spans="1:10" x14ac:dyDescent="0.35">
      <c r="A142">
        <v>141</v>
      </c>
      <c r="B142" s="6">
        <v>43241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 s="7">
        <v>247025</v>
      </c>
    </row>
    <row r="143" spans="1:10" x14ac:dyDescent="0.35">
      <c r="A143">
        <v>142</v>
      </c>
      <c r="B143" s="6">
        <v>43242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 s="7">
        <v>24770847</v>
      </c>
    </row>
    <row r="144" spans="1:10" x14ac:dyDescent="0.35">
      <c r="A144">
        <v>143</v>
      </c>
      <c r="B144" s="6">
        <v>43243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 s="7">
        <v>25898347</v>
      </c>
    </row>
    <row r="145" spans="1:10" x14ac:dyDescent="0.35">
      <c r="A145">
        <v>144</v>
      </c>
      <c r="B145" s="6">
        <v>43244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 t="s">
        <v>67</v>
      </c>
    </row>
    <row r="146" spans="1:10" x14ac:dyDescent="0.35">
      <c r="A146">
        <v>145</v>
      </c>
      <c r="B146" s="6">
        <v>43245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 s="7">
        <v>27094153</v>
      </c>
    </row>
    <row r="147" spans="1:10" x14ac:dyDescent="0.35">
      <c r="A147">
        <v>146</v>
      </c>
      <c r="B147" s="6">
        <v>43246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 s="7">
        <v>29041653</v>
      </c>
    </row>
    <row r="148" spans="1:10" x14ac:dyDescent="0.35">
      <c r="A148">
        <v>147</v>
      </c>
      <c r="B148" s="6">
        <v>43247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 s="7">
        <v>27948347</v>
      </c>
    </row>
    <row r="149" spans="1:10" x14ac:dyDescent="0.35">
      <c r="A149">
        <v>148</v>
      </c>
      <c r="B149" s="6">
        <v>43248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 s="7">
        <v>26889153</v>
      </c>
    </row>
    <row r="150" spans="1:10" x14ac:dyDescent="0.35">
      <c r="A150">
        <v>149</v>
      </c>
      <c r="B150" s="6">
        <v>43249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 s="7">
        <v>273675</v>
      </c>
    </row>
    <row r="151" spans="1:10" x14ac:dyDescent="0.35">
      <c r="A151">
        <v>150</v>
      </c>
      <c r="B151" s="6">
        <v>43250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 s="7">
        <v>30066653</v>
      </c>
    </row>
    <row r="152" spans="1:10" x14ac:dyDescent="0.35">
      <c r="A152">
        <v>151</v>
      </c>
      <c r="B152" s="6">
        <v>43251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 s="7">
        <v>31775</v>
      </c>
    </row>
    <row r="153" spans="1:10" x14ac:dyDescent="0.35">
      <c r="A153">
        <v>152</v>
      </c>
      <c r="B153" s="6">
        <v>43252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 s="7">
        <v>31330847</v>
      </c>
    </row>
    <row r="154" spans="1:10" x14ac:dyDescent="0.35">
      <c r="A154">
        <v>153</v>
      </c>
      <c r="B154" s="6">
        <v>43253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 s="7">
        <v>29315</v>
      </c>
    </row>
    <row r="155" spans="1:10" x14ac:dyDescent="0.35">
      <c r="A155">
        <v>154</v>
      </c>
      <c r="B155" s="6">
        <v>43254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 t="s">
        <v>63</v>
      </c>
    </row>
    <row r="156" spans="1:10" x14ac:dyDescent="0.35">
      <c r="A156">
        <v>155</v>
      </c>
      <c r="B156" s="6">
        <v>43255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 s="7">
        <v>26035</v>
      </c>
    </row>
    <row r="157" spans="1:10" x14ac:dyDescent="0.35">
      <c r="A157">
        <v>156</v>
      </c>
      <c r="B157" s="6">
        <v>43256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 s="7">
        <v>26581653</v>
      </c>
    </row>
    <row r="158" spans="1:10" x14ac:dyDescent="0.35">
      <c r="A158">
        <v>157</v>
      </c>
      <c r="B158" s="6">
        <v>43257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 s="7">
        <v>27811653</v>
      </c>
    </row>
    <row r="159" spans="1:10" x14ac:dyDescent="0.35">
      <c r="A159">
        <v>158</v>
      </c>
      <c r="B159" s="6">
        <v>43258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 s="7">
        <v>290075</v>
      </c>
    </row>
    <row r="160" spans="1:10" x14ac:dyDescent="0.35">
      <c r="A160">
        <v>159</v>
      </c>
      <c r="B160" s="6">
        <v>43259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 s="7">
        <v>31809153</v>
      </c>
    </row>
    <row r="161" spans="1:10" x14ac:dyDescent="0.35">
      <c r="A161">
        <v>160</v>
      </c>
      <c r="B161" s="6">
        <v>43260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 s="7">
        <v>33141653</v>
      </c>
    </row>
    <row r="162" spans="1:10" x14ac:dyDescent="0.35">
      <c r="A162">
        <v>161</v>
      </c>
      <c r="B162" s="6">
        <v>43261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 s="7">
        <v>30955</v>
      </c>
    </row>
    <row r="163" spans="1:10" x14ac:dyDescent="0.35">
      <c r="A163">
        <v>162</v>
      </c>
      <c r="B163" s="6">
        <v>43262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 s="7">
        <v>29725</v>
      </c>
    </row>
    <row r="164" spans="1:10" x14ac:dyDescent="0.35">
      <c r="A164">
        <v>163</v>
      </c>
      <c r="B164" s="6">
        <v>43263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 s="7">
        <v>283925</v>
      </c>
    </row>
    <row r="165" spans="1:10" x14ac:dyDescent="0.35">
      <c r="A165">
        <v>164</v>
      </c>
      <c r="B165" s="6">
        <v>43264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 s="7">
        <v>26035</v>
      </c>
    </row>
    <row r="166" spans="1:10" x14ac:dyDescent="0.35">
      <c r="A166">
        <v>165</v>
      </c>
      <c r="B166" s="6">
        <v>43265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 s="7">
        <v>24770847</v>
      </c>
    </row>
    <row r="167" spans="1:10" x14ac:dyDescent="0.35">
      <c r="A167">
        <v>166</v>
      </c>
      <c r="B167" s="6">
        <v>43266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 s="7">
        <v>25693347</v>
      </c>
    </row>
    <row r="168" spans="1:10" x14ac:dyDescent="0.35">
      <c r="A168">
        <v>167</v>
      </c>
      <c r="B168" s="6">
        <v>43267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 s="7">
        <v>25761653</v>
      </c>
    </row>
    <row r="169" spans="1:10" x14ac:dyDescent="0.35">
      <c r="A169">
        <v>168</v>
      </c>
      <c r="B169" s="6">
        <v>43268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 s="7">
        <v>26615847</v>
      </c>
    </row>
    <row r="170" spans="1:10" x14ac:dyDescent="0.35">
      <c r="A170">
        <v>169</v>
      </c>
      <c r="B170" s="6">
        <v>43269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 s="7">
        <v>28563347</v>
      </c>
    </row>
    <row r="171" spans="1:10" x14ac:dyDescent="0.35">
      <c r="A171">
        <v>170</v>
      </c>
      <c r="B171" s="6">
        <v>43270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 s="7">
        <v>28665847</v>
      </c>
    </row>
    <row r="172" spans="1:10" x14ac:dyDescent="0.35">
      <c r="A172">
        <v>171</v>
      </c>
      <c r="B172" s="6">
        <v>43271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 s="7">
        <v>26035</v>
      </c>
    </row>
    <row r="173" spans="1:10" x14ac:dyDescent="0.35">
      <c r="A173">
        <v>172</v>
      </c>
      <c r="B173" s="6">
        <v>43272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 s="7">
        <v>27914153</v>
      </c>
    </row>
    <row r="174" spans="1:10" x14ac:dyDescent="0.35">
      <c r="A174">
        <v>173</v>
      </c>
      <c r="B174" s="6">
        <v>43273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 s="7">
        <v>30066653</v>
      </c>
    </row>
    <row r="175" spans="1:10" x14ac:dyDescent="0.35">
      <c r="A175">
        <v>174</v>
      </c>
      <c r="B175" s="6">
        <v>43274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 s="7">
        <v>29861653</v>
      </c>
    </row>
    <row r="176" spans="1:10" x14ac:dyDescent="0.35">
      <c r="A176">
        <v>175</v>
      </c>
      <c r="B176" s="6">
        <v>43275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 s="7">
        <v>29690847</v>
      </c>
    </row>
    <row r="177" spans="1:10" x14ac:dyDescent="0.35">
      <c r="A177">
        <v>176</v>
      </c>
      <c r="B177" s="6">
        <v>43276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 s="7">
        <v>28495</v>
      </c>
    </row>
    <row r="178" spans="1:10" x14ac:dyDescent="0.35">
      <c r="A178">
        <v>177</v>
      </c>
      <c r="B178" s="6">
        <v>43277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 t="s">
        <v>68</v>
      </c>
    </row>
    <row r="179" spans="1:10" x14ac:dyDescent="0.35">
      <c r="A179">
        <v>178</v>
      </c>
      <c r="B179" s="6">
        <v>43278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 s="7">
        <v>279825</v>
      </c>
    </row>
    <row r="180" spans="1:10" x14ac:dyDescent="0.35">
      <c r="A180">
        <v>179</v>
      </c>
      <c r="B180" s="6">
        <v>43279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 s="7">
        <v>30510847</v>
      </c>
    </row>
    <row r="181" spans="1:10" x14ac:dyDescent="0.35">
      <c r="A181">
        <v>180</v>
      </c>
      <c r="B181" s="6">
        <v>43280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 s="7">
        <v>29861653</v>
      </c>
    </row>
    <row r="182" spans="1:10" x14ac:dyDescent="0.35">
      <c r="A182">
        <v>181</v>
      </c>
      <c r="B182" s="6">
        <v>43281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 s="7">
        <v>28563347</v>
      </c>
    </row>
    <row r="183" spans="1:10" x14ac:dyDescent="0.35">
      <c r="A183">
        <v>182</v>
      </c>
      <c r="B183" s="6">
        <v>43282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 s="7">
        <v>296225</v>
      </c>
    </row>
    <row r="184" spans="1:10" x14ac:dyDescent="0.35">
      <c r="A184">
        <v>183</v>
      </c>
      <c r="B184" s="6">
        <v>43283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 s="7">
        <v>30271653</v>
      </c>
    </row>
    <row r="185" spans="1:10" x14ac:dyDescent="0.35">
      <c r="A185">
        <v>184</v>
      </c>
      <c r="B185" s="6">
        <v>43284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 s="7">
        <v>29383347</v>
      </c>
    </row>
    <row r="186" spans="1:10" x14ac:dyDescent="0.35">
      <c r="A186">
        <v>185</v>
      </c>
      <c r="B186" s="6">
        <v>43285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 s="7">
        <v>29793347</v>
      </c>
    </row>
    <row r="187" spans="1:10" x14ac:dyDescent="0.35">
      <c r="A187">
        <v>186</v>
      </c>
      <c r="B187" s="6">
        <v>43286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 s="7">
        <v>30613347</v>
      </c>
    </row>
    <row r="188" spans="1:10" x14ac:dyDescent="0.35">
      <c r="A188">
        <v>187</v>
      </c>
      <c r="B188" s="6">
        <v>43287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 t="s">
        <v>69</v>
      </c>
    </row>
    <row r="189" spans="1:10" x14ac:dyDescent="0.35">
      <c r="A189">
        <v>188</v>
      </c>
      <c r="B189" s="6">
        <v>43288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 t="s">
        <v>70</v>
      </c>
    </row>
    <row r="190" spans="1:10" x14ac:dyDescent="0.35">
      <c r="A190">
        <v>189</v>
      </c>
      <c r="B190" s="6">
        <v>43289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 s="7">
        <v>29075847</v>
      </c>
    </row>
    <row r="191" spans="1:10" x14ac:dyDescent="0.35">
      <c r="A191">
        <v>190</v>
      </c>
      <c r="B191" s="6">
        <v>43290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 s="7">
        <v>30066653</v>
      </c>
    </row>
    <row r="192" spans="1:10" x14ac:dyDescent="0.35">
      <c r="A192">
        <v>191</v>
      </c>
      <c r="B192" s="6">
        <v>43291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 s="7">
        <v>306475</v>
      </c>
    </row>
    <row r="193" spans="1:10" x14ac:dyDescent="0.35">
      <c r="A193">
        <v>192</v>
      </c>
      <c r="B193" s="6">
        <v>43292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 s="7">
        <v>312625</v>
      </c>
    </row>
    <row r="194" spans="1:10" x14ac:dyDescent="0.35">
      <c r="A194">
        <v>193</v>
      </c>
      <c r="B194" s="6">
        <v>43293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 s="7">
        <v>32560847</v>
      </c>
    </row>
    <row r="195" spans="1:10" x14ac:dyDescent="0.35">
      <c r="A195">
        <v>194</v>
      </c>
      <c r="B195" s="6">
        <v>43294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 s="7">
        <v>30613347</v>
      </c>
    </row>
    <row r="196" spans="1:10" x14ac:dyDescent="0.35">
      <c r="A196">
        <v>195</v>
      </c>
      <c r="B196" s="6">
        <v>43295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 s="7">
        <v>27914153</v>
      </c>
    </row>
    <row r="197" spans="1:10" x14ac:dyDescent="0.35">
      <c r="A197">
        <v>196</v>
      </c>
      <c r="B197" s="6">
        <v>43296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 s="7">
        <v>27196653</v>
      </c>
    </row>
    <row r="198" spans="1:10" x14ac:dyDescent="0.35">
      <c r="A198">
        <v>197</v>
      </c>
      <c r="B198" s="6">
        <v>43297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 s="7">
        <v>28153347</v>
      </c>
    </row>
    <row r="199" spans="1:10" x14ac:dyDescent="0.35">
      <c r="A199">
        <v>198</v>
      </c>
      <c r="B199" s="6">
        <v>43298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 s="7">
        <v>29485847</v>
      </c>
    </row>
    <row r="200" spans="1:10" x14ac:dyDescent="0.35">
      <c r="A200">
        <v>199</v>
      </c>
      <c r="B200" s="6">
        <v>43299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 s="7">
        <v>30613347</v>
      </c>
    </row>
    <row r="201" spans="1:10" x14ac:dyDescent="0.35">
      <c r="A201">
        <v>200</v>
      </c>
      <c r="B201" s="6">
        <v>43300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 s="7">
        <v>31843347</v>
      </c>
    </row>
    <row r="202" spans="1:10" x14ac:dyDescent="0.35">
      <c r="A202">
        <v>201</v>
      </c>
      <c r="B202" s="6">
        <v>43301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 s="7">
        <v>31501653</v>
      </c>
    </row>
    <row r="203" spans="1:10" x14ac:dyDescent="0.35">
      <c r="A203">
        <v>202</v>
      </c>
      <c r="B203" s="6">
        <v>43302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 s="7">
        <v>33415</v>
      </c>
    </row>
    <row r="204" spans="1:10" x14ac:dyDescent="0.35">
      <c r="A204">
        <v>203</v>
      </c>
      <c r="B204" s="6">
        <v>43303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 s="7">
        <v>34781653</v>
      </c>
    </row>
    <row r="205" spans="1:10" x14ac:dyDescent="0.35">
      <c r="A205">
        <v>204</v>
      </c>
      <c r="B205" s="6">
        <v>43304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 s="7">
        <v>34815847</v>
      </c>
    </row>
    <row r="206" spans="1:10" x14ac:dyDescent="0.35">
      <c r="A206">
        <v>205</v>
      </c>
      <c r="B206" s="6">
        <v>43305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 t="s">
        <v>71</v>
      </c>
    </row>
    <row r="207" spans="1:10" x14ac:dyDescent="0.35">
      <c r="A207">
        <v>206</v>
      </c>
      <c r="B207" s="6">
        <v>43306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 s="7">
        <v>30476653</v>
      </c>
    </row>
    <row r="208" spans="1:10" x14ac:dyDescent="0.35">
      <c r="A208">
        <v>207</v>
      </c>
      <c r="B208" s="6">
        <v>43307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 s="7">
        <v>31638347</v>
      </c>
    </row>
    <row r="209" spans="1:10" x14ac:dyDescent="0.35">
      <c r="A209">
        <v>208</v>
      </c>
      <c r="B209" s="6">
        <v>43308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 s="7">
        <v>31775</v>
      </c>
    </row>
    <row r="210" spans="1:10" x14ac:dyDescent="0.35">
      <c r="A210">
        <v>209</v>
      </c>
      <c r="B210" s="6">
        <v>43309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 s="7">
        <v>31945847</v>
      </c>
    </row>
    <row r="211" spans="1:10" x14ac:dyDescent="0.35">
      <c r="A211">
        <v>210</v>
      </c>
      <c r="B211" s="6">
        <v>43310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 s="7">
        <v>34371653</v>
      </c>
    </row>
    <row r="212" spans="1:10" x14ac:dyDescent="0.35">
      <c r="A212">
        <v>211</v>
      </c>
      <c r="B212" s="6">
        <v>43311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 s="7">
        <v>32970847</v>
      </c>
    </row>
    <row r="213" spans="1:10" x14ac:dyDescent="0.35">
      <c r="A213">
        <v>212</v>
      </c>
      <c r="B213" s="6">
        <v>43312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 s="7">
        <v>33039153</v>
      </c>
    </row>
    <row r="214" spans="1:10" x14ac:dyDescent="0.35">
      <c r="A214">
        <v>213</v>
      </c>
      <c r="B214" s="6">
        <v>43313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 s="7">
        <v>31638347</v>
      </c>
    </row>
    <row r="215" spans="1:10" x14ac:dyDescent="0.35">
      <c r="A215">
        <v>214</v>
      </c>
      <c r="B215" s="6">
        <v>43314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 s="7">
        <v>32116653</v>
      </c>
    </row>
    <row r="216" spans="1:10" x14ac:dyDescent="0.35">
      <c r="A216">
        <v>215</v>
      </c>
      <c r="B216" s="6">
        <v>43315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 s="7">
        <v>29998347</v>
      </c>
    </row>
    <row r="217" spans="1:10" x14ac:dyDescent="0.35">
      <c r="A217">
        <v>216</v>
      </c>
      <c r="B217" s="6">
        <v>43316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 t="s">
        <v>72</v>
      </c>
    </row>
    <row r="218" spans="1:10" x14ac:dyDescent="0.35">
      <c r="A218">
        <v>217</v>
      </c>
      <c r="B218" s="6">
        <v>43317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 s="7">
        <v>29144153</v>
      </c>
    </row>
    <row r="219" spans="1:10" x14ac:dyDescent="0.35">
      <c r="A219">
        <v>218</v>
      </c>
      <c r="B219" s="6">
        <v>43318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 s="7">
        <v>29383347</v>
      </c>
    </row>
    <row r="220" spans="1:10" x14ac:dyDescent="0.35">
      <c r="A220">
        <v>219</v>
      </c>
      <c r="B220" s="6">
        <v>43319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 s="7">
        <v>304425</v>
      </c>
    </row>
    <row r="221" spans="1:10" x14ac:dyDescent="0.35">
      <c r="A221">
        <v>220</v>
      </c>
      <c r="B221" s="6">
        <v>43320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 s="7">
        <v>31365</v>
      </c>
    </row>
    <row r="222" spans="1:10" x14ac:dyDescent="0.35">
      <c r="A222">
        <v>221</v>
      </c>
      <c r="B222" s="6">
        <v>43321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 s="7">
        <v>31775</v>
      </c>
    </row>
    <row r="223" spans="1:10" x14ac:dyDescent="0.35">
      <c r="A223">
        <v>222</v>
      </c>
      <c r="B223" s="6">
        <v>43322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 s="7">
        <v>31433347</v>
      </c>
    </row>
    <row r="224" spans="1:10" x14ac:dyDescent="0.35">
      <c r="A224">
        <v>223</v>
      </c>
      <c r="B224" s="6">
        <v>43323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 s="7">
        <v>294175</v>
      </c>
    </row>
    <row r="225" spans="1:10" x14ac:dyDescent="0.35">
      <c r="A225">
        <v>224</v>
      </c>
      <c r="B225" s="6">
        <v>43324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 s="7">
        <v>29041653</v>
      </c>
    </row>
    <row r="226" spans="1:10" x14ac:dyDescent="0.35">
      <c r="A226">
        <v>225</v>
      </c>
      <c r="B226" s="6">
        <v>43325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 s="7">
        <v>28119153</v>
      </c>
    </row>
    <row r="227" spans="1:10" x14ac:dyDescent="0.35">
      <c r="A227">
        <v>226</v>
      </c>
      <c r="B227" s="6">
        <v>43326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 s="7">
        <v>27743347</v>
      </c>
    </row>
    <row r="228" spans="1:10" x14ac:dyDescent="0.35">
      <c r="A228">
        <v>227</v>
      </c>
      <c r="B228" s="6">
        <v>43327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 s="7">
        <v>27299153</v>
      </c>
    </row>
    <row r="229" spans="1:10" x14ac:dyDescent="0.35">
      <c r="A229">
        <v>228</v>
      </c>
      <c r="B229" s="6">
        <v>43328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 s="7">
        <v>28734153</v>
      </c>
    </row>
    <row r="230" spans="1:10" x14ac:dyDescent="0.35">
      <c r="A230">
        <v>229</v>
      </c>
      <c r="B230" s="6">
        <v>43329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 s="7">
        <v>29656653</v>
      </c>
    </row>
    <row r="231" spans="1:10" x14ac:dyDescent="0.35">
      <c r="A231">
        <v>230</v>
      </c>
      <c r="B231" s="6">
        <v>43330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 s="7">
        <v>29178347</v>
      </c>
    </row>
    <row r="232" spans="1:10" x14ac:dyDescent="0.35">
      <c r="A232">
        <v>231</v>
      </c>
      <c r="B232" s="6">
        <v>43331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 s="7">
        <v>28085</v>
      </c>
    </row>
    <row r="233" spans="1:10" x14ac:dyDescent="0.35">
      <c r="A233">
        <v>232</v>
      </c>
      <c r="B233" s="6">
        <v>43332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 s="7">
        <v>285975</v>
      </c>
    </row>
    <row r="234" spans="1:10" x14ac:dyDescent="0.35">
      <c r="A234">
        <v>233</v>
      </c>
      <c r="B234" s="6">
        <v>43333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 s="7">
        <v>29144153</v>
      </c>
    </row>
    <row r="235" spans="1:10" x14ac:dyDescent="0.35">
      <c r="A235">
        <v>234</v>
      </c>
      <c r="B235" s="6">
        <v>43334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 s="7">
        <v>28358347</v>
      </c>
    </row>
    <row r="236" spans="1:10" x14ac:dyDescent="0.35">
      <c r="A236">
        <v>235</v>
      </c>
      <c r="B236" s="6">
        <v>43335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 s="7">
        <v>26274153</v>
      </c>
    </row>
    <row r="237" spans="1:10" x14ac:dyDescent="0.35">
      <c r="A237">
        <v>236</v>
      </c>
      <c r="B237" s="6">
        <v>43336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 s="7">
        <v>27606653</v>
      </c>
    </row>
    <row r="238" spans="1:10" x14ac:dyDescent="0.35">
      <c r="A238">
        <v>237</v>
      </c>
      <c r="B238" s="6">
        <v>43337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 s="7">
        <v>28050847</v>
      </c>
    </row>
    <row r="239" spans="1:10" x14ac:dyDescent="0.35">
      <c r="A239">
        <v>238</v>
      </c>
      <c r="B239" s="6">
        <v>43338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 t="s">
        <v>73</v>
      </c>
    </row>
    <row r="240" spans="1:10" x14ac:dyDescent="0.35">
      <c r="A240">
        <v>239</v>
      </c>
      <c r="B240" s="6">
        <v>43339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 t="s">
        <v>68</v>
      </c>
    </row>
    <row r="241" spans="1:10" x14ac:dyDescent="0.35">
      <c r="A241">
        <v>240</v>
      </c>
      <c r="B241" s="6">
        <v>43340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 s="7">
        <v>28989419</v>
      </c>
    </row>
    <row r="242" spans="1:10" x14ac:dyDescent="0.35">
      <c r="A242">
        <v>241</v>
      </c>
      <c r="B242" s="6">
        <v>43341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 s="7">
        <v>26103347</v>
      </c>
    </row>
    <row r="243" spans="1:10" x14ac:dyDescent="0.35">
      <c r="A243">
        <v>242</v>
      </c>
      <c r="B243" s="6">
        <v>43342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 s="7">
        <v>26205847</v>
      </c>
    </row>
    <row r="244" spans="1:10" x14ac:dyDescent="0.35">
      <c r="A244">
        <v>243</v>
      </c>
      <c r="B244" s="6">
        <v>43343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 s="7">
        <v>26923347</v>
      </c>
    </row>
    <row r="245" spans="1:10" x14ac:dyDescent="0.35">
      <c r="A245">
        <v>244</v>
      </c>
      <c r="B245" s="6">
        <v>43344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 s="7">
        <v>26855</v>
      </c>
    </row>
    <row r="246" spans="1:10" x14ac:dyDescent="0.35">
      <c r="A246">
        <v>245</v>
      </c>
      <c r="B246" s="6">
        <v>43345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 s="7">
        <v>26376653</v>
      </c>
    </row>
    <row r="247" spans="1:10" x14ac:dyDescent="0.35">
      <c r="A247">
        <v>246</v>
      </c>
      <c r="B247" s="6">
        <v>43346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 s="7">
        <v>27435847</v>
      </c>
    </row>
    <row r="248" spans="1:10" x14ac:dyDescent="0.35">
      <c r="A248">
        <v>247</v>
      </c>
      <c r="B248" s="6">
        <v>43347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 s="7">
        <v>29075847</v>
      </c>
    </row>
    <row r="249" spans="1:10" x14ac:dyDescent="0.35">
      <c r="A249">
        <v>248</v>
      </c>
      <c r="B249" s="6">
        <v>43348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 s="7">
        <v>27606653</v>
      </c>
    </row>
    <row r="250" spans="1:10" x14ac:dyDescent="0.35">
      <c r="A250">
        <v>249</v>
      </c>
      <c r="B250" s="6">
        <v>43349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 t="s">
        <v>60</v>
      </c>
    </row>
    <row r="251" spans="1:10" x14ac:dyDescent="0.35">
      <c r="A251">
        <v>250</v>
      </c>
      <c r="B251" s="6">
        <v>43350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 s="7">
        <v>24565847</v>
      </c>
    </row>
    <row r="252" spans="1:10" x14ac:dyDescent="0.35">
      <c r="A252">
        <v>251</v>
      </c>
      <c r="B252" s="6">
        <v>43351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 s="7">
        <v>25990433</v>
      </c>
    </row>
    <row r="253" spans="1:10" x14ac:dyDescent="0.35">
      <c r="A253">
        <v>252</v>
      </c>
      <c r="B253" s="6">
        <v>43352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 t="s">
        <v>74</v>
      </c>
    </row>
    <row r="254" spans="1:10" x14ac:dyDescent="0.35">
      <c r="A254">
        <v>253</v>
      </c>
      <c r="B254" s="6">
        <v>43353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 t="s">
        <v>67</v>
      </c>
    </row>
    <row r="255" spans="1:10" x14ac:dyDescent="0.35">
      <c r="A255">
        <v>254</v>
      </c>
      <c r="B255" s="6">
        <v>43354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 s="7">
        <v>26786653</v>
      </c>
    </row>
    <row r="256" spans="1:10" x14ac:dyDescent="0.35">
      <c r="A256">
        <v>255</v>
      </c>
      <c r="B256" s="6">
        <v>43355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 s="7">
        <v>26418268</v>
      </c>
    </row>
    <row r="257" spans="1:10" x14ac:dyDescent="0.35">
      <c r="A257">
        <v>256</v>
      </c>
      <c r="B257" s="6">
        <v>43356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 s="7">
        <v>26684153</v>
      </c>
    </row>
    <row r="258" spans="1:10" x14ac:dyDescent="0.35">
      <c r="A258">
        <v>257</v>
      </c>
      <c r="B258" s="6">
        <v>43357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 s="7">
        <v>27606653</v>
      </c>
    </row>
    <row r="259" spans="1:10" x14ac:dyDescent="0.35">
      <c r="A259">
        <v>258</v>
      </c>
      <c r="B259" s="6">
        <v>43358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 s="7">
        <v>236775</v>
      </c>
    </row>
    <row r="260" spans="1:10" x14ac:dyDescent="0.35">
      <c r="A260">
        <v>259</v>
      </c>
      <c r="B260" s="6">
        <v>43359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 s="7">
        <v>19235847</v>
      </c>
    </row>
    <row r="261" spans="1:10" x14ac:dyDescent="0.35">
      <c r="A261">
        <v>260</v>
      </c>
      <c r="B261" s="6">
        <v>43360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 s="7">
        <v>20158347</v>
      </c>
    </row>
    <row r="262" spans="1:10" x14ac:dyDescent="0.35">
      <c r="A262">
        <v>261</v>
      </c>
      <c r="B262" s="6">
        <v>43361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 s="7">
        <v>208075</v>
      </c>
    </row>
    <row r="263" spans="1:10" x14ac:dyDescent="0.35">
      <c r="A263">
        <v>262</v>
      </c>
      <c r="B263" s="6">
        <v>43362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 s="7">
        <v>22515847</v>
      </c>
    </row>
    <row r="264" spans="1:10" x14ac:dyDescent="0.35">
      <c r="A264">
        <v>263</v>
      </c>
      <c r="B264" s="6">
        <v>43363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 s="7">
        <v>23028347</v>
      </c>
    </row>
    <row r="265" spans="1:10" x14ac:dyDescent="0.35">
      <c r="A265">
        <v>264</v>
      </c>
      <c r="B265" s="6">
        <v>43364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 s="7">
        <v>24395</v>
      </c>
    </row>
    <row r="266" spans="1:10" x14ac:dyDescent="0.35">
      <c r="A266">
        <v>265</v>
      </c>
      <c r="B266" s="6">
        <v>43365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 s="7">
        <v>25761653</v>
      </c>
    </row>
    <row r="267" spans="1:10" x14ac:dyDescent="0.35">
      <c r="A267">
        <v>266</v>
      </c>
      <c r="B267" s="6">
        <v>43366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 s="7">
        <v>24975847</v>
      </c>
    </row>
    <row r="268" spans="1:10" x14ac:dyDescent="0.35">
      <c r="A268">
        <v>267</v>
      </c>
      <c r="B268" s="6">
        <v>43367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 s="7">
        <v>24873347</v>
      </c>
    </row>
    <row r="269" spans="1:10" x14ac:dyDescent="0.35">
      <c r="A269">
        <v>268</v>
      </c>
      <c r="B269" s="6">
        <v>43368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 s="7">
        <v>26000847</v>
      </c>
    </row>
    <row r="270" spans="1:10" x14ac:dyDescent="0.35">
      <c r="A270">
        <v>269</v>
      </c>
      <c r="B270" s="6">
        <v>43369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 s="7">
        <v>26615847</v>
      </c>
    </row>
    <row r="271" spans="1:10" x14ac:dyDescent="0.35">
      <c r="A271">
        <v>270</v>
      </c>
      <c r="B271" s="6">
        <v>43370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 s="7">
        <v>26103347</v>
      </c>
    </row>
    <row r="272" spans="1:10" x14ac:dyDescent="0.35">
      <c r="A272">
        <v>271</v>
      </c>
      <c r="B272" s="6">
        <v>43371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 s="7">
        <v>26035</v>
      </c>
    </row>
    <row r="273" spans="1:10" x14ac:dyDescent="0.35">
      <c r="A273">
        <v>272</v>
      </c>
      <c r="B273" s="6">
        <v>43372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 s="7">
        <v>25283347</v>
      </c>
    </row>
    <row r="274" spans="1:10" x14ac:dyDescent="0.35">
      <c r="A274">
        <v>273</v>
      </c>
      <c r="B274" s="6">
        <v>43373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 s="7">
        <v>23130847</v>
      </c>
    </row>
    <row r="275" spans="1:10" x14ac:dyDescent="0.35">
      <c r="A275">
        <v>274</v>
      </c>
      <c r="B275" s="6">
        <v>43374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 t="s">
        <v>75</v>
      </c>
    </row>
    <row r="276" spans="1:10" x14ac:dyDescent="0.35">
      <c r="A276">
        <v>275</v>
      </c>
      <c r="B276" s="6">
        <v>43375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 s="7">
        <v>14623347</v>
      </c>
    </row>
    <row r="277" spans="1:10" x14ac:dyDescent="0.35">
      <c r="A277">
        <v>276</v>
      </c>
      <c r="B277" s="6">
        <v>43376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 s="7">
        <v>15750847</v>
      </c>
    </row>
    <row r="278" spans="1:10" x14ac:dyDescent="0.35">
      <c r="A278">
        <v>277</v>
      </c>
      <c r="B278" s="6">
        <v>43377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 s="7">
        <v>19850847</v>
      </c>
    </row>
    <row r="279" spans="1:10" x14ac:dyDescent="0.35">
      <c r="A279">
        <v>278</v>
      </c>
      <c r="B279" s="6">
        <v>43378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 s="7">
        <v>22071653</v>
      </c>
    </row>
    <row r="280" spans="1:10" x14ac:dyDescent="0.35">
      <c r="A280">
        <v>279</v>
      </c>
      <c r="B280" s="6">
        <v>43379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 s="7">
        <v>20260847</v>
      </c>
    </row>
    <row r="281" spans="1:10" x14ac:dyDescent="0.35">
      <c r="A281">
        <v>280</v>
      </c>
      <c r="B281" s="6">
        <v>43380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 s="7">
        <v>20944153</v>
      </c>
    </row>
    <row r="282" spans="1:10" x14ac:dyDescent="0.35">
      <c r="A282">
        <v>281</v>
      </c>
      <c r="B282" s="6">
        <v>43381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 s="7">
        <v>21388347</v>
      </c>
    </row>
    <row r="283" spans="1:10" x14ac:dyDescent="0.35">
      <c r="A283">
        <v>282</v>
      </c>
      <c r="B283" s="6">
        <v>43382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 s="7">
        <v>22174153</v>
      </c>
    </row>
    <row r="284" spans="1:10" x14ac:dyDescent="0.35">
      <c r="A284">
        <v>283</v>
      </c>
      <c r="B284" s="6">
        <v>43383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 s="7">
        <v>23404153</v>
      </c>
    </row>
    <row r="285" spans="1:10" x14ac:dyDescent="0.35">
      <c r="A285">
        <v>284</v>
      </c>
      <c r="B285" s="6">
        <v>43384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 s="7">
        <v>23233347</v>
      </c>
    </row>
    <row r="286" spans="1:10" x14ac:dyDescent="0.35">
      <c r="A286">
        <v>285</v>
      </c>
      <c r="B286" s="6">
        <v>43385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 s="7">
        <v>22276653</v>
      </c>
    </row>
    <row r="287" spans="1:10" x14ac:dyDescent="0.35">
      <c r="A287">
        <v>286</v>
      </c>
      <c r="B287" s="6">
        <v>43386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 s="7">
        <v>24155847</v>
      </c>
    </row>
    <row r="288" spans="1:10" x14ac:dyDescent="0.35">
      <c r="A288">
        <v>287</v>
      </c>
      <c r="B288" s="6">
        <v>43387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 s="7">
        <v>22584153</v>
      </c>
    </row>
    <row r="289" spans="1:10" x14ac:dyDescent="0.35">
      <c r="A289">
        <v>288</v>
      </c>
      <c r="B289" s="6">
        <v>43388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 s="7">
        <v>20773347</v>
      </c>
    </row>
    <row r="290" spans="1:10" x14ac:dyDescent="0.35">
      <c r="A290">
        <v>289</v>
      </c>
      <c r="B290" s="6">
        <v>43389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 s="7">
        <v>20978347</v>
      </c>
    </row>
    <row r="291" spans="1:10" x14ac:dyDescent="0.35">
      <c r="A291">
        <v>290</v>
      </c>
      <c r="B291" s="6">
        <v>43390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 s="7">
        <v>21900847</v>
      </c>
    </row>
    <row r="292" spans="1:10" x14ac:dyDescent="0.35">
      <c r="A292">
        <v>291</v>
      </c>
      <c r="B292" s="6">
        <v>43391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 s="7">
        <v>218325</v>
      </c>
    </row>
    <row r="293" spans="1:10" x14ac:dyDescent="0.35">
      <c r="A293">
        <v>292</v>
      </c>
      <c r="B293" s="6">
        <v>43392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 s="7">
        <v>22211299</v>
      </c>
    </row>
    <row r="294" spans="1:10" x14ac:dyDescent="0.35">
      <c r="A294">
        <v>293</v>
      </c>
      <c r="B294" s="6">
        <v>43393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 s="7">
        <v>19509153</v>
      </c>
    </row>
    <row r="295" spans="1:10" x14ac:dyDescent="0.35">
      <c r="A295">
        <v>294</v>
      </c>
      <c r="B295" s="6">
        <v>43394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 s="7">
        <v>175275</v>
      </c>
    </row>
    <row r="296" spans="1:10" x14ac:dyDescent="0.35">
      <c r="A296">
        <v>295</v>
      </c>
      <c r="B296" s="6">
        <v>43395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 s="7">
        <v>173225</v>
      </c>
    </row>
    <row r="297" spans="1:10" x14ac:dyDescent="0.35">
      <c r="A297">
        <v>296</v>
      </c>
      <c r="B297" s="6">
        <v>43396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 s="7">
        <v>17288347</v>
      </c>
    </row>
    <row r="298" spans="1:10" x14ac:dyDescent="0.35">
      <c r="A298">
        <v>297</v>
      </c>
      <c r="B298" s="6">
        <v>43397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 s="7">
        <v>18996653</v>
      </c>
    </row>
    <row r="299" spans="1:10" x14ac:dyDescent="0.35">
      <c r="A299">
        <v>298</v>
      </c>
      <c r="B299" s="6">
        <v>43398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 s="7">
        <v>19338347</v>
      </c>
    </row>
    <row r="300" spans="1:10" x14ac:dyDescent="0.35">
      <c r="A300">
        <v>299</v>
      </c>
      <c r="B300" s="6">
        <v>43399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 s="7">
        <v>19850847</v>
      </c>
    </row>
    <row r="301" spans="1:10" x14ac:dyDescent="0.35">
      <c r="A301">
        <v>300</v>
      </c>
      <c r="B301" s="6">
        <v>43400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 t="s">
        <v>76</v>
      </c>
    </row>
    <row r="302" spans="1:10" x14ac:dyDescent="0.35">
      <c r="A302">
        <v>301</v>
      </c>
      <c r="B302" s="6">
        <v>43401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 s="7">
        <v>13564153</v>
      </c>
    </row>
    <row r="303" spans="1:10" x14ac:dyDescent="0.35">
      <c r="A303">
        <v>302</v>
      </c>
      <c r="B303" s="6">
        <v>43402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 s="7">
        <v>10420847</v>
      </c>
    </row>
    <row r="304" spans="1:10" x14ac:dyDescent="0.35">
      <c r="A304">
        <v>303</v>
      </c>
      <c r="B304" s="6">
        <v>43403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 s="7">
        <v>13085847</v>
      </c>
    </row>
    <row r="305" spans="1:10" x14ac:dyDescent="0.35">
      <c r="A305">
        <v>304</v>
      </c>
      <c r="B305" s="6">
        <v>43404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 t="s">
        <v>77</v>
      </c>
    </row>
    <row r="306" spans="1:10" x14ac:dyDescent="0.35">
      <c r="A306">
        <v>305</v>
      </c>
      <c r="B306" s="6">
        <v>43405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 s="7">
        <v>16434153</v>
      </c>
    </row>
    <row r="307" spans="1:10" x14ac:dyDescent="0.35">
      <c r="A307">
        <v>306</v>
      </c>
      <c r="B307" s="6">
        <v>43406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 s="7">
        <v>154775</v>
      </c>
    </row>
    <row r="308" spans="1:10" x14ac:dyDescent="0.35">
      <c r="A308">
        <v>307</v>
      </c>
      <c r="B308" s="6">
        <v>43407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 s="7">
        <v>16741653</v>
      </c>
    </row>
    <row r="309" spans="1:10" x14ac:dyDescent="0.35">
      <c r="A309">
        <v>308</v>
      </c>
      <c r="B309" s="6">
        <v>43408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 s="7">
        <v>16536653</v>
      </c>
    </row>
    <row r="310" spans="1:10" x14ac:dyDescent="0.35">
      <c r="A310">
        <v>309</v>
      </c>
      <c r="B310" s="6">
        <v>43409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 s="7">
        <v>13393347</v>
      </c>
    </row>
    <row r="311" spans="1:10" x14ac:dyDescent="0.35">
      <c r="A311">
        <v>310</v>
      </c>
      <c r="B311" s="6">
        <v>43410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 s="7">
        <v>14281653</v>
      </c>
    </row>
    <row r="312" spans="1:10" x14ac:dyDescent="0.35">
      <c r="A312">
        <v>311</v>
      </c>
      <c r="B312" s="6">
        <v>43411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 s="7">
        <v>16195</v>
      </c>
    </row>
    <row r="313" spans="1:10" x14ac:dyDescent="0.35">
      <c r="A313">
        <v>312</v>
      </c>
      <c r="B313" s="6">
        <v>43412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 s="7">
        <v>16741653</v>
      </c>
    </row>
    <row r="314" spans="1:10" x14ac:dyDescent="0.35">
      <c r="A314">
        <v>313</v>
      </c>
      <c r="B314" s="6">
        <v>43413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 t="s">
        <v>78</v>
      </c>
    </row>
    <row r="315" spans="1:10" x14ac:dyDescent="0.35">
      <c r="A315">
        <v>314</v>
      </c>
      <c r="B315" s="6">
        <v>43414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 t="s">
        <v>79</v>
      </c>
    </row>
    <row r="316" spans="1:10" x14ac:dyDescent="0.35">
      <c r="A316">
        <v>315</v>
      </c>
      <c r="B316" s="6">
        <v>43415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 s="7">
        <v>13290847</v>
      </c>
    </row>
    <row r="317" spans="1:10" x14ac:dyDescent="0.35">
      <c r="A317">
        <v>316</v>
      </c>
      <c r="B317" s="6">
        <v>43416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 s="7">
        <v>14623347</v>
      </c>
    </row>
    <row r="318" spans="1:10" x14ac:dyDescent="0.35">
      <c r="A318">
        <v>317</v>
      </c>
      <c r="B318" s="6">
        <v>43417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 s="7">
        <v>18074153</v>
      </c>
    </row>
    <row r="319" spans="1:10" x14ac:dyDescent="0.35">
      <c r="A319">
        <v>318</v>
      </c>
      <c r="B319" s="6">
        <v>43418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 t="s">
        <v>80</v>
      </c>
    </row>
    <row r="320" spans="1:10" x14ac:dyDescent="0.35">
      <c r="A320">
        <v>319</v>
      </c>
      <c r="B320" s="6">
        <v>43419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 t="s">
        <v>80</v>
      </c>
    </row>
    <row r="321" spans="1:10" x14ac:dyDescent="0.35">
      <c r="A321">
        <v>320</v>
      </c>
      <c r="B321" s="6">
        <v>43420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 s="7">
        <v>18723347</v>
      </c>
    </row>
    <row r="322" spans="1:10" x14ac:dyDescent="0.35">
      <c r="A322">
        <v>321</v>
      </c>
      <c r="B322" s="6">
        <v>43421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 s="7">
        <v>14008347</v>
      </c>
    </row>
    <row r="323" spans="1:10" x14ac:dyDescent="0.35">
      <c r="A323">
        <v>322</v>
      </c>
      <c r="B323" s="6">
        <v>43422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 s="7">
        <v>11240847</v>
      </c>
    </row>
    <row r="324" spans="1:10" x14ac:dyDescent="0.35">
      <c r="A324">
        <v>323</v>
      </c>
      <c r="B324" s="6">
        <v>43423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 s="7">
        <v>13495847</v>
      </c>
    </row>
    <row r="325" spans="1:10" x14ac:dyDescent="0.35">
      <c r="A325">
        <v>324</v>
      </c>
      <c r="B325" s="6">
        <v>43424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 s="7">
        <v>18996653</v>
      </c>
    </row>
    <row r="326" spans="1:10" x14ac:dyDescent="0.35">
      <c r="A326">
        <v>325</v>
      </c>
      <c r="B326" s="6">
        <v>43425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 s="7">
        <v>183475</v>
      </c>
    </row>
    <row r="327" spans="1:10" x14ac:dyDescent="0.35">
      <c r="A327">
        <v>326</v>
      </c>
      <c r="B327" s="6">
        <v>43426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 s="7">
        <v>17083347</v>
      </c>
    </row>
    <row r="328" spans="1:10" x14ac:dyDescent="0.35">
      <c r="A328">
        <v>327</v>
      </c>
      <c r="B328" s="6">
        <v>43427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 s="7">
        <v>18074153</v>
      </c>
    </row>
    <row r="329" spans="1:10" x14ac:dyDescent="0.35">
      <c r="A329">
        <v>328</v>
      </c>
      <c r="B329" s="6">
        <v>43428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 s="7">
        <v>15306653</v>
      </c>
    </row>
    <row r="330" spans="1:10" x14ac:dyDescent="0.35">
      <c r="A330">
        <v>329</v>
      </c>
      <c r="B330" s="6">
        <v>43429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 s="7">
        <v>15375</v>
      </c>
    </row>
    <row r="331" spans="1:10" x14ac:dyDescent="0.35">
      <c r="A331">
        <v>330</v>
      </c>
      <c r="B331" s="6">
        <v>43430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 s="7">
        <v>15409153</v>
      </c>
    </row>
    <row r="332" spans="1:10" x14ac:dyDescent="0.35">
      <c r="A332">
        <v>331</v>
      </c>
      <c r="B332" s="6">
        <v>43431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 s="7">
        <v>18825847</v>
      </c>
    </row>
    <row r="333" spans="1:10" x14ac:dyDescent="0.35">
      <c r="A333">
        <v>332</v>
      </c>
      <c r="B333" s="6">
        <v>43432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 s="7">
        <v>20642598</v>
      </c>
    </row>
    <row r="334" spans="1:10" x14ac:dyDescent="0.35">
      <c r="A334">
        <v>333</v>
      </c>
      <c r="B334" s="6">
        <v>43433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 s="7">
        <v>18791653</v>
      </c>
    </row>
    <row r="335" spans="1:10" x14ac:dyDescent="0.35">
      <c r="A335">
        <v>334</v>
      </c>
      <c r="B335" s="6">
        <v>43434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 s="7">
        <v>13325</v>
      </c>
    </row>
    <row r="336" spans="1:10" x14ac:dyDescent="0.35">
      <c r="A336">
        <v>335</v>
      </c>
      <c r="B336" s="6">
        <v>43435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 s="7">
        <v>128125</v>
      </c>
    </row>
    <row r="337" spans="1:10" x14ac:dyDescent="0.35">
      <c r="A337">
        <v>336</v>
      </c>
      <c r="B337" s="6">
        <v>43436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 s="7">
        <v>12880847</v>
      </c>
    </row>
    <row r="338" spans="1:10" x14ac:dyDescent="0.35">
      <c r="A338">
        <v>337</v>
      </c>
      <c r="B338" s="6">
        <v>43437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 s="7">
        <v>12265847</v>
      </c>
    </row>
    <row r="339" spans="1:10" x14ac:dyDescent="0.35">
      <c r="A339">
        <v>338</v>
      </c>
      <c r="B339" s="6">
        <v>43438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 s="7">
        <v>13564153</v>
      </c>
    </row>
    <row r="340" spans="1:10" x14ac:dyDescent="0.35">
      <c r="A340">
        <v>339</v>
      </c>
      <c r="B340" s="6">
        <v>43439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 s="7">
        <v>15819153</v>
      </c>
    </row>
    <row r="341" spans="1:10" x14ac:dyDescent="0.35">
      <c r="A341">
        <v>340</v>
      </c>
      <c r="B341" s="6">
        <v>43440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 s="7">
        <v>189625</v>
      </c>
    </row>
    <row r="342" spans="1:10" x14ac:dyDescent="0.35">
      <c r="A342">
        <v>341</v>
      </c>
      <c r="B342" s="6">
        <v>43441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 t="s">
        <v>75</v>
      </c>
    </row>
    <row r="343" spans="1:10" x14ac:dyDescent="0.35">
      <c r="A343">
        <v>342</v>
      </c>
      <c r="B343" s="6">
        <v>43442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 s="7">
        <v>10899153</v>
      </c>
    </row>
    <row r="344" spans="1:10" x14ac:dyDescent="0.35">
      <c r="A344">
        <v>343</v>
      </c>
      <c r="B344" s="6">
        <v>43443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 s="7">
        <v>11924153</v>
      </c>
    </row>
    <row r="345" spans="1:10" x14ac:dyDescent="0.35">
      <c r="A345">
        <v>344</v>
      </c>
      <c r="B345" s="6">
        <v>43444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 s="7">
        <v>11275</v>
      </c>
    </row>
    <row r="346" spans="1:10" x14ac:dyDescent="0.35">
      <c r="A346">
        <v>345</v>
      </c>
      <c r="B346" s="6">
        <v>43445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 s="7">
        <v>9054153</v>
      </c>
    </row>
    <row r="347" spans="1:10" x14ac:dyDescent="0.35">
      <c r="A347">
        <v>346</v>
      </c>
      <c r="B347" s="6">
        <v>43446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 s="7">
        <v>9771653</v>
      </c>
    </row>
    <row r="348" spans="1:10" x14ac:dyDescent="0.35">
      <c r="A348">
        <v>347</v>
      </c>
      <c r="B348" s="6">
        <v>43447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 s="7">
        <v>115825</v>
      </c>
    </row>
    <row r="349" spans="1:10" x14ac:dyDescent="0.35">
      <c r="A349">
        <v>348</v>
      </c>
      <c r="B349" s="6">
        <v>43448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 s="7">
        <v>130175</v>
      </c>
    </row>
    <row r="350" spans="1:10" x14ac:dyDescent="0.35">
      <c r="A350">
        <v>349</v>
      </c>
      <c r="B350" s="6">
        <v>43449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 s="7">
        <v>173225</v>
      </c>
    </row>
    <row r="351" spans="1:10" x14ac:dyDescent="0.35">
      <c r="A351">
        <v>350</v>
      </c>
      <c r="B351" s="6">
        <v>43450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 s="7">
        <v>15375</v>
      </c>
    </row>
    <row r="352" spans="1:10" x14ac:dyDescent="0.35">
      <c r="A352">
        <v>351</v>
      </c>
      <c r="B352" s="6">
        <v>43451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 s="7">
        <v>10591653</v>
      </c>
    </row>
    <row r="353" spans="1:10" x14ac:dyDescent="0.35">
      <c r="A353">
        <v>352</v>
      </c>
      <c r="B353" s="6">
        <v>43452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 s="7">
        <v>9771653</v>
      </c>
    </row>
    <row r="354" spans="1:10" x14ac:dyDescent="0.35">
      <c r="A354">
        <v>353</v>
      </c>
      <c r="B354" s="6">
        <v>43453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 s="7">
        <v>11343347</v>
      </c>
    </row>
    <row r="355" spans="1:10" x14ac:dyDescent="0.35">
      <c r="A355">
        <v>354</v>
      </c>
      <c r="B355" s="6">
        <v>43454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 s="7">
        <v>15819153</v>
      </c>
    </row>
    <row r="356" spans="1:10" x14ac:dyDescent="0.35">
      <c r="A356">
        <v>355</v>
      </c>
      <c r="B356" s="6">
        <v>43455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 s="7">
        <v>17561653</v>
      </c>
    </row>
    <row r="357" spans="1:10" x14ac:dyDescent="0.35">
      <c r="A357">
        <v>356</v>
      </c>
      <c r="B357" s="6">
        <v>43456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 s="7">
        <v>17356653</v>
      </c>
    </row>
    <row r="358" spans="1:10" x14ac:dyDescent="0.35">
      <c r="A358">
        <v>357</v>
      </c>
      <c r="B358" s="6">
        <v>43457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 s="7">
        <v>15306653</v>
      </c>
    </row>
    <row r="359" spans="1:10" x14ac:dyDescent="0.35">
      <c r="A359">
        <v>358</v>
      </c>
      <c r="B359" s="6">
        <v>43458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 s="7">
        <v>124025</v>
      </c>
    </row>
    <row r="360" spans="1:10" x14ac:dyDescent="0.35">
      <c r="A360">
        <v>359</v>
      </c>
      <c r="B360" s="6">
        <v>43459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 s="7">
        <v>11266103</v>
      </c>
    </row>
    <row r="361" spans="1:10" x14ac:dyDescent="0.35">
      <c r="A361">
        <v>360</v>
      </c>
      <c r="B361" s="6">
        <v>43460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 s="7">
        <v>13191299</v>
      </c>
    </row>
    <row r="362" spans="1:10" x14ac:dyDescent="0.35">
      <c r="A362">
        <v>361</v>
      </c>
      <c r="B362" s="6">
        <v>43461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 s="7">
        <v>13325</v>
      </c>
    </row>
    <row r="363" spans="1:10" x14ac:dyDescent="0.35">
      <c r="A363">
        <v>362</v>
      </c>
      <c r="B363" s="6">
        <v>43462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 s="7">
        <v>1226433</v>
      </c>
    </row>
    <row r="364" spans="1:10" x14ac:dyDescent="0.35">
      <c r="A364">
        <v>363</v>
      </c>
      <c r="B364" s="6">
        <v>43463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 s="7">
        <v>10181653</v>
      </c>
    </row>
    <row r="365" spans="1:10" x14ac:dyDescent="0.35">
      <c r="A365">
        <v>364</v>
      </c>
      <c r="B365" s="6">
        <v>43464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 s="7">
        <v>12778347</v>
      </c>
    </row>
    <row r="366" spans="1:10" x14ac:dyDescent="0.35">
      <c r="A366">
        <v>365</v>
      </c>
      <c r="B366" s="6">
        <v>43465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 t="s">
        <v>75</v>
      </c>
    </row>
    <row r="367" spans="1:10" x14ac:dyDescent="0.35">
      <c r="A367">
        <v>366</v>
      </c>
      <c r="B367" s="6">
        <v>43466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 t="s">
        <v>81</v>
      </c>
    </row>
    <row r="368" spans="1:10" x14ac:dyDescent="0.35">
      <c r="A368">
        <v>367</v>
      </c>
      <c r="B368" s="6">
        <v>43467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 s="7">
        <v>11194763</v>
      </c>
    </row>
    <row r="369" spans="1:10" x14ac:dyDescent="0.35">
      <c r="A369">
        <v>368</v>
      </c>
      <c r="B369" s="6">
        <v>43468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 t="s">
        <v>82</v>
      </c>
    </row>
    <row r="370" spans="1:10" x14ac:dyDescent="0.35">
      <c r="A370">
        <v>369</v>
      </c>
      <c r="B370" s="6">
        <v>43469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 s="7">
        <v>44075</v>
      </c>
    </row>
    <row r="371" spans="1:10" x14ac:dyDescent="0.35">
      <c r="A371">
        <v>370</v>
      </c>
      <c r="B371" s="6">
        <v>43470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 s="7">
        <v>10899153</v>
      </c>
    </row>
    <row r="372" spans="1:10" x14ac:dyDescent="0.35">
      <c r="A372">
        <v>371</v>
      </c>
      <c r="B372" s="6">
        <v>43471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 s="7">
        <v>13700847</v>
      </c>
    </row>
    <row r="373" spans="1:10" x14ac:dyDescent="0.35">
      <c r="A373">
        <v>372</v>
      </c>
      <c r="B373" s="6">
        <v>43472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 s="7">
        <v>16126653</v>
      </c>
    </row>
    <row r="374" spans="1:10" x14ac:dyDescent="0.35">
      <c r="A374">
        <v>373</v>
      </c>
      <c r="B374" s="6">
        <v>43473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 s="7">
        <v>138375</v>
      </c>
    </row>
    <row r="375" spans="1:10" x14ac:dyDescent="0.35">
      <c r="A375">
        <v>374</v>
      </c>
      <c r="B375" s="6">
        <v>43474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 s="7">
        <v>9190847</v>
      </c>
    </row>
    <row r="376" spans="1:10" x14ac:dyDescent="0.35">
      <c r="A376">
        <v>375</v>
      </c>
      <c r="B376" s="6">
        <v>43475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 s="7">
        <v>12656536</v>
      </c>
    </row>
    <row r="377" spans="1:10" x14ac:dyDescent="0.35">
      <c r="A377">
        <v>376</v>
      </c>
      <c r="B377" s="6">
        <v>43476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 s="7">
        <v>11240847</v>
      </c>
    </row>
    <row r="378" spans="1:10" x14ac:dyDescent="0.35">
      <c r="A378">
        <v>377</v>
      </c>
      <c r="B378" s="6">
        <v>43477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 s="7">
        <v>156825</v>
      </c>
    </row>
    <row r="379" spans="1:10" x14ac:dyDescent="0.35">
      <c r="A379">
        <v>378</v>
      </c>
      <c r="B379" s="6">
        <v>43478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 s="7">
        <v>11240847</v>
      </c>
    </row>
    <row r="380" spans="1:10" x14ac:dyDescent="0.35">
      <c r="A380">
        <v>379</v>
      </c>
      <c r="B380" s="6">
        <v>43479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 t="s">
        <v>83</v>
      </c>
    </row>
    <row r="381" spans="1:10" x14ac:dyDescent="0.35">
      <c r="A381">
        <v>380</v>
      </c>
      <c r="B381" s="6">
        <v>43480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 s="7">
        <v>6833347</v>
      </c>
    </row>
    <row r="382" spans="1:10" x14ac:dyDescent="0.35">
      <c r="A382">
        <v>381</v>
      </c>
      <c r="B382" s="6">
        <v>43481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 t="s">
        <v>84</v>
      </c>
    </row>
    <row r="383" spans="1:10" x14ac:dyDescent="0.35">
      <c r="A383">
        <v>382</v>
      </c>
      <c r="B383" s="6">
        <v>43482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 s="7">
        <v>15294763</v>
      </c>
    </row>
    <row r="384" spans="1:10" x14ac:dyDescent="0.35">
      <c r="A384">
        <v>383</v>
      </c>
      <c r="B384" s="6">
        <v>43483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 s="7">
        <v>12436653</v>
      </c>
    </row>
    <row r="385" spans="1:10" x14ac:dyDescent="0.35">
      <c r="A385">
        <v>384</v>
      </c>
      <c r="B385" s="6">
        <v>43484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 t="s">
        <v>84</v>
      </c>
    </row>
    <row r="386" spans="1:10" x14ac:dyDescent="0.35">
      <c r="A386">
        <v>385</v>
      </c>
      <c r="B386" s="6">
        <v>43485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 s="7">
        <v>89175</v>
      </c>
    </row>
    <row r="387" spans="1:10" x14ac:dyDescent="0.35">
      <c r="A387">
        <v>386</v>
      </c>
      <c r="B387" s="6">
        <v>43486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 s="7">
        <v>7106653</v>
      </c>
    </row>
    <row r="388" spans="1:10" x14ac:dyDescent="0.35">
      <c r="A388">
        <v>387</v>
      </c>
      <c r="B388" s="6">
        <v>43487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 s="7">
        <v>66625</v>
      </c>
    </row>
    <row r="389" spans="1:10" x14ac:dyDescent="0.35">
      <c r="A389">
        <v>388</v>
      </c>
      <c r="B389" s="6">
        <v>43488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 s="7">
        <v>8951653</v>
      </c>
    </row>
    <row r="390" spans="1:10" x14ac:dyDescent="0.35">
      <c r="A390">
        <v>389</v>
      </c>
      <c r="B390" s="6">
        <v>43489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 s="7">
        <v>140425</v>
      </c>
    </row>
    <row r="391" spans="1:10" x14ac:dyDescent="0.35">
      <c r="A391">
        <v>390</v>
      </c>
      <c r="B391" s="6">
        <v>43490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 s="7">
        <v>12060847</v>
      </c>
    </row>
    <row r="392" spans="1:10" x14ac:dyDescent="0.35">
      <c r="A392">
        <v>391</v>
      </c>
      <c r="B392" s="6">
        <v>43491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 s="7">
        <v>14008347</v>
      </c>
    </row>
    <row r="393" spans="1:10" x14ac:dyDescent="0.35">
      <c r="A393">
        <v>392</v>
      </c>
      <c r="B393" s="6">
        <v>43492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 s="7">
        <v>17425</v>
      </c>
    </row>
    <row r="394" spans="1:10" x14ac:dyDescent="0.35">
      <c r="A394">
        <v>393</v>
      </c>
      <c r="B394" s="6">
        <v>43493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 s="7">
        <v>12949153</v>
      </c>
    </row>
    <row r="395" spans="1:10" x14ac:dyDescent="0.35">
      <c r="A395">
        <v>394</v>
      </c>
      <c r="B395" s="6">
        <v>43494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 s="7">
        <v>115825</v>
      </c>
    </row>
    <row r="396" spans="1:10" x14ac:dyDescent="0.35">
      <c r="A396">
        <v>395</v>
      </c>
      <c r="B396" s="6">
        <v>43495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 s="7">
        <v>11035847</v>
      </c>
    </row>
    <row r="397" spans="1:10" x14ac:dyDescent="0.35">
      <c r="A397">
        <v>396</v>
      </c>
      <c r="B397" s="6">
        <v>43496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 t="s">
        <v>85</v>
      </c>
    </row>
    <row r="398" spans="1:10" x14ac:dyDescent="0.35">
      <c r="A398">
        <v>397</v>
      </c>
      <c r="B398" s="6">
        <v>43497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 s="7">
        <v>19235847</v>
      </c>
    </row>
    <row r="399" spans="1:10" x14ac:dyDescent="0.35">
      <c r="A399">
        <v>398</v>
      </c>
      <c r="B399" s="6">
        <v>43498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 s="7">
        <v>16365847</v>
      </c>
    </row>
    <row r="400" spans="1:10" x14ac:dyDescent="0.35">
      <c r="A400">
        <v>399</v>
      </c>
      <c r="B400" s="6">
        <v>43499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 s="7">
        <v>12846653</v>
      </c>
    </row>
    <row r="401" spans="1:10" x14ac:dyDescent="0.35">
      <c r="A401">
        <v>400</v>
      </c>
      <c r="B401" s="6">
        <v>43500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 s="7">
        <v>10830847</v>
      </c>
    </row>
    <row r="402" spans="1:10" x14ac:dyDescent="0.35">
      <c r="A402">
        <v>401</v>
      </c>
      <c r="B402" s="6">
        <v>43501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 s="7">
        <v>10899153</v>
      </c>
    </row>
    <row r="403" spans="1:10" x14ac:dyDescent="0.35">
      <c r="A403">
        <v>402</v>
      </c>
      <c r="B403" s="6">
        <v>43502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 s="7">
        <v>11586969</v>
      </c>
    </row>
    <row r="404" spans="1:10" x14ac:dyDescent="0.35">
      <c r="A404">
        <v>403</v>
      </c>
      <c r="B404" s="6">
        <v>43503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 s="7">
        <v>14520847</v>
      </c>
    </row>
    <row r="405" spans="1:10" x14ac:dyDescent="0.35">
      <c r="A405">
        <v>404</v>
      </c>
      <c r="B405" s="6">
        <v>43504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 s="7">
        <v>10523347</v>
      </c>
    </row>
    <row r="406" spans="1:10" x14ac:dyDescent="0.35">
      <c r="A406">
        <v>405</v>
      </c>
      <c r="B406" s="6">
        <v>43505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 s="7">
        <v>10865</v>
      </c>
    </row>
    <row r="407" spans="1:10" x14ac:dyDescent="0.35">
      <c r="A407">
        <v>406</v>
      </c>
      <c r="B407" s="6">
        <v>43506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 s="7">
        <v>11514153</v>
      </c>
    </row>
    <row r="408" spans="1:10" x14ac:dyDescent="0.35">
      <c r="A408">
        <v>407</v>
      </c>
      <c r="B408" s="6">
        <v>43507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 s="7">
        <v>9190847</v>
      </c>
    </row>
    <row r="409" spans="1:10" x14ac:dyDescent="0.35">
      <c r="A409">
        <v>408</v>
      </c>
      <c r="B409" s="6">
        <v>43508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 s="7">
        <v>52275</v>
      </c>
    </row>
    <row r="410" spans="1:10" x14ac:dyDescent="0.35">
      <c r="A410">
        <v>409</v>
      </c>
      <c r="B410" s="6">
        <v>43509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 s="7">
        <v>91225</v>
      </c>
    </row>
    <row r="411" spans="1:10" x14ac:dyDescent="0.35">
      <c r="A411">
        <v>410</v>
      </c>
      <c r="B411" s="6">
        <v>43510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 s="7">
        <v>13085847</v>
      </c>
    </row>
    <row r="412" spans="1:10" x14ac:dyDescent="0.35">
      <c r="A412">
        <v>411</v>
      </c>
      <c r="B412" s="6">
        <v>43511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 s="7">
        <v>14281653</v>
      </c>
    </row>
    <row r="413" spans="1:10" x14ac:dyDescent="0.35">
      <c r="A413">
        <v>412</v>
      </c>
      <c r="B413" s="6">
        <v>43512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 s="7">
        <v>12983347</v>
      </c>
    </row>
    <row r="414" spans="1:10" x14ac:dyDescent="0.35">
      <c r="A414">
        <v>413</v>
      </c>
      <c r="B414" s="6">
        <v>43513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 s="7">
        <v>14076653</v>
      </c>
    </row>
    <row r="415" spans="1:10" x14ac:dyDescent="0.35">
      <c r="A415">
        <v>414</v>
      </c>
      <c r="B415" s="6">
        <v>43514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 s="7">
        <v>14213347</v>
      </c>
    </row>
    <row r="416" spans="1:10" x14ac:dyDescent="0.35">
      <c r="A416">
        <v>415</v>
      </c>
      <c r="B416" s="6">
        <v>43515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 t="s">
        <v>86</v>
      </c>
    </row>
    <row r="417" spans="1:10" x14ac:dyDescent="0.35">
      <c r="A417">
        <v>416</v>
      </c>
      <c r="B417" s="6">
        <v>43516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 t="s">
        <v>86</v>
      </c>
    </row>
    <row r="418" spans="1:10" x14ac:dyDescent="0.35">
      <c r="A418">
        <v>417</v>
      </c>
      <c r="B418" s="6">
        <v>43517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 s="7">
        <v>11800866</v>
      </c>
    </row>
    <row r="419" spans="1:10" x14ac:dyDescent="0.35">
      <c r="A419">
        <v>418</v>
      </c>
      <c r="B419" s="6">
        <v>43518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 s="7">
        <v>16229153</v>
      </c>
    </row>
    <row r="420" spans="1:10" x14ac:dyDescent="0.35">
      <c r="A420">
        <v>419</v>
      </c>
      <c r="B420" s="6">
        <v>43519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 s="7">
        <v>18620847</v>
      </c>
    </row>
    <row r="421" spans="1:10" x14ac:dyDescent="0.35">
      <c r="A421">
        <v>420</v>
      </c>
      <c r="B421" s="6">
        <v>43520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 s="7">
        <v>167075</v>
      </c>
    </row>
    <row r="422" spans="1:10" x14ac:dyDescent="0.35">
      <c r="A422">
        <v>421</v>
      </c>
      <c r="B422" s="6">
        <v>43521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 s="7">
        <v>11924153</v>
      </c>
    </row>
    <row r="423" spans="1:10" x14ac:dyDescent="0.35">
      <c r="A423">
        <v>422</v>
      </c>
      <c r="B423" s="6">
        <v>43522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 s="7">
        <v>11445847</v>
      </c>
    </row>
    <row r="424" spans="1:10" x14ac:dyDescent="0.35">
      <c r="A424">
        <v>423</v>
      </c>
      <c r="B424" s="6">
        <v>43523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 s="7">
        <v>15033347</v>
      </c>
    </row>
    <row r="425" spans="1:10" x14ac:dyDescent="0.35">
      <c r="A425">
        <v>424</v>
      </c>
      <c r="B425" s="6">
        <v>43524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 s="7">
        <v>14725847</v>
      </c>
    </row>
    <row r="426" spans="1:10" x14ac:dyDescent="0.35">
      <c r="A426">
        <v>425</v>
      </c>
      <c r="B426" s="6">
        <v>43525</v>
      </c>
      <c r="C426">
        <v>1</v>
      </c>
      <c r="D426">
        <v>1</v>
      </c>
      <c r="E426">
        <v>3</v>
      </c>
      <c r="F426">
        <v>0</v>
      </c>
      <c r="G426">
        <v>4</v>
      </c>
      <c r="H426">
        <v>1</v>
      </c>
      <c r="I426">
        <v>1</v>
      </c>
      <c r="J426" s="7">
        <v>19919153</v>
      </c>
    </row>
    <row r="427" spans="1:10" x14ac:dyDescent="0.35">
      <c r="A427">
        <v>426</v>
      </c>
      <c r="B427" s="6">
        <v>43526</v>
      </c>
      <c r="C427">
        <v>1</v>
      </c>
      <c r="D427">
        <v>1</v>
      </c>
      <c r="E427">
        <v>3</v>
      </c>
      <c r="F427">
        <v>0</v>
      </c>
      <c r="G427">
        <v>5</v>
      </c>
      <c r="H427">
        <v>1</v>
      </c>
      <c r="I427">
        <v>2</v>
      </c>
      <c r="J427" s="7">
        <v>14486653</v>
      </c>
    </row>
    <row r="428" spans="1:10" x14ac:dyDescent="0.35">
      <c r="A428">
        <v>427</v>
      </c>
      <c r="B428" s="6">
        <v>43527</v>
      </c>
      <c r="C428">
        <v>1</v>
      </c>
      <c r="D428">
        <v>1</v>
      </c>
      <c r="E428">
        <v>3</v>
      </c>
      <c r="F428">
        <v>0</v>
      </c>
      <c r="G428">
        <v>6</v>
      </c>
      <c r="H428">
        <v>0</v>
      </c>
      <c r="I428">
        <v>2</v>
      </c>
      <c r="J428" s="7">
        <v>16980847</v>
      </c>
    </row>
    <row r="429" spans="1:10" x14ac:dyDescent="0.35">
      <c r="A429">
        <v>428</v>
      </c>
      <c r="B429" s="6">
        <v>43528</v>
      </c>
      <c r="C429">
        <v>1</v>
      </c>
      <c r="D429">
        <v>1</v>
      </c>
      <c r="E429">
        <v>3</v>
      </c>
      <c r="F429">
        <v>0</v>
      </c>
      <c r="G429">
        <v>0</v>
      </c>
      <c r="H429">
        <v>0</v>
      </c>
      <c r="I429">
        <v>1</v>
      </c>
      <c r="J429" s="7">
        <v>13359153</v>
      </c>
    </row>
    <row r="430" spans="1:10" x14ac:dyDescent="0.35">
      <c r="A430">
        <v>429</v>
      </c>
      <c r="B430" s="6">
        <v>43529</v>
      </c>
      <c r="C430">
        <v>1</v>
      </c>
      <c r="D430">
        <v>1</v>
      </c>
      <c r="E430">
        <v>3</v>
      </c>
      <c r="F430">
        <v>0</v>
      </c>
      <c r="G430">
        <v>1</v>
      </c>
      <c r="H430">
        <v>1</v>
      </c>
      <c r="I430">
        <v>1</v>
      </c>
      <c r="J430" s="7">
        <v>9976653</v>
      </c>
    </row>
    <row r="431" spans="1:10" x14ac:dyDescent="0.35">
      <c r="A431">
        <v>430</v>
      </c>
      <c r="B431" s="6">
        <v>43530</v>
      </c>
      <c r="C431">
        <v>1</v>
      </c>
      <c r="D431">
        <v>1</v>
      </c>
      <c r="E431">
        <v>3</v>
      </c>
      <c r="F431">
        <v>0</v>
      </c>
      <c r="G431">
        <v>2</v>
      </c>
      <c r="H431">
        <v>1</v>
      </c>
      <c r="I431">
        <v>1</v>
      </c>
      <c r="J431" s="7">
        <v>10591653</v>
      </c>
    </row>
    <row r="432" spans="1:10" x14ac:dyDescent="0.35">
      <c r="A432">
        <v>431</v>
      </c>
      <c r="B432" s="6">
        <v>43531</v>
      </c>
      <c r="C432">
        <v>1</v>
      </c>
      <c r="D432">
        <v>1</v>
      </c>
      <c r="E432">
        <v>3</v>
      </c>
      <c r="F432">
        <v>0</v>
      </c>
      <c r="G432">
        <v>3</v>
      </c>
      <c r="H432">
        <v>1</v>
      </c>
      <c r="I432">
        <v>1</v>
      </c>
      <c r="J432" s="7">
        <v>16570847</v>
      </c>
    </row>
    <row r="433" spans="1:10" x14ac:dyDescent="0.35">
      <c r="A433">
        <v>432</v>
      </c>
      <c r="B433" s="6">
        <v>43532</v>
      </c>
      <c r="C433">
        <v>1</v>
      </c>
      <c r="D433">
        <v>1</v>
      </c>
      <c r="E433">
        <v>3</v>
      </c>
      <c r="F433">
        <v>0</v>
      </c>
      <c r="G433">
        <v>4</v>
      </c>
      <c r="H433">
        <v>1</v>
      </c>
      <c r="I433">
        <v>1</v>
      </c>
      <c r="J433" s="7">
        <v>216275</v>
      </c>
    </row>
    <row r="434" spans="1:10" x14ac:dyDescent="0.35">
      <c r="A434">
        <v>433</v>
      </c>
      <c r="B434" s="6">
        <v>43533</v>
      </c>
      <c r="C434">
        <v>1</v>
      </c>
      <c r="D434">
        <v>1</v>
      </c>
      <c r="E434">
        <v>3</v>
      </c>
      <c r="F434">
        <v>0</v>
      </c>
      <c r="G434">
        <v>5</v>
      </c>
      <c r="H434">
        <v>1</v>
      </c>
      <c r="I434">
        <v>2</v>
      </c>
      <c r="J434" s="7">
        <v>16844153</v>
      </c>
    </row>
    <row r="435" spans="1:10" x14ac:dyDescent="0.35">
      <c r="A435">
        <v>434</v>
      </c>
      <c r="B435" s="6">
        <v>43534</v>
      </c>
      <c r="C435">
        <v>1</v>
      </c>
      <c r="D435">
        <v>1</v>
      </c>
      <c r="E435">
        <v>3</v>
      </c>
      <c r="F435">
        <v>0</v>
      </c>
      <c r="G435">
        <v>6</v>
      </c>
      <c r="H435">
        <v>0</v>
      </c>
      <c r="I435">
        <v>1</v>
      </c>
      <c r="J435" s="7">
        <v>117875</v>
      </c>
    </row>
    <row r="436" spans="1:10" x14ac:dyDescent="0.35">
      <c r="A436">
        <v>435</v>
      </c>
      <c r="B436" s="6">
        <v>43535</v>
      </c>
      <c r="C436">
        <v>1</v>
      </c>
      <c r="D436">
        <v>1</v>
      </c>
      <c r="E436">
        <v>3</v>
      </c>
      <c r="F436">
        <v>0</v>
      </c>
      <c r="G436">
        <v>0</v>
      </c>
      <c r="H436">
        <v>0</v>
      </c>
      <c r="I436">
        <v>1</v>
      </c>
      <c r="J436" s="7">
        <v>14831299</v>
      </c>
    </row>
    <row r="437" spans="1:10" x14ac:dyDescent="0.35">
      <c r="A437">
        <v>436</v>
      </c>
      <c r="B437" s="6">
        <v>43536</v>
      </c>
      <c r="C437">
        <v>1</v>
      </c>
      <c r="D437">
        <v>1</v>
      </c>
      <c r="E437">
        <v>3</v>
      </c>
      <c r="F437">
        <v>0</v>
      </c>
      <c r="G437">
        <v>1</v>
      </c>
      <c r="H437">
        <v>1</v>
      </c>
      <c r="I437">
        <v>1</v>
      </c>
      <c r="J437" s="7">
        <v>19133347</v>
      </c>
    </row>
    <row r="438" spans="1:10" x14ac:dyDescent="0.35">
      <c r="A438">
        <v>437</v>
      </c>
      <c r="B438" s="6">
        <v>43537</v>
      </c>
      <c r="C438">
        <v>1</v>
      </c>
      <c r="D438">
        <v>1</v>
      </c>
      <c r="E438">
        <v>3</v>
      </c>
      <c r="F438">
        <v>0</v>
      </c>
      <c r="G438">
        <v>2</v>
      </c>
      <c r="H438">
        <v>1</v>
      </c>
      <c r="I438">
        <v>1</v>
      </c>
      <c r="J438" s="7">
        <v>23165</v>
      </c>
    </row>
    <row r="439" spans="1:10" x14ac:dyDescent="0.35">
      <c r="A439">
        <v>438</v>
      </c>
      <c r="B439" s="6">
        <v>43538</v>
      </c>
      <c r="C439">
        <v>1</v>
      </c>
      <c r="D439">
        <v>1</v>
      </c>
      <c r="E439">
        <v>3</v>
      </c>
      <c r="F439">
        <v>0</v>
      </c>
      <c r="G439">
        <v>3</v>
      </c>
      <c r="H439">
        <v>1</v>
      </c>
      <c r="I439">
        <v>1</v>
      </c>
      <c r="J439" s="7">
        <v>234725</v>
      </c>
    </row>
    <row r="440" spans="1:10" x14ac:dyDescent="0.35">
      <c r="A440">
        <v>439</v>
      </c>
      <c r="B440" s="6">
        <v>43539</v>
      </c>
      <c r="C440">
        <v>1</v>
      </c>
      <c r="D440">
        <v>1</v>
      </c>
      <c r="E440">
        <v>3</v>
      </c>
      <c r="F440">
        <v>0</v>
      </c>
      <c r="G440">
        <v>4</v>
      </c>
      <c r="H440">
        <v>1</v>
      </c>
      <c r="I440">
        <v>1</v>
      </c>
      <c r="J440" s="7">
        <v>228575</v>
      </c>
    </row>
    <row r="441" spans="1:10" x14ac:dyDescent="0.35">
      <c r="A441">
        <v>440</v>
      </c>
      <c r="B441" s="6">
        <v>43540</v>
      </c>
      <c r="C441">
        <v>1</v>
      </c>
      <c r="D441">
        <v>1</v>
      </c>
      <c r="E441">
        <v>3</v>
      </c>
      <c r="F441">
        <v>0</v>
      </c>
      <c r="G441">
        <v>5</v>
      </c>
      <c r="H441">
        <v>1</v>
      </c>
      <c r="I441">
        <v>2</v>
      </c>
      <c r="J441" s="7">
        <v>17869153</v>
      </c>
    </row>
    <row r="442" spans="1:10" x14ac:dyDescent="0.35">
      <c r="A442">
        <v>441</v>
      </c>
      <c r="B442" s="6">
        <v>43541</v>
      </c>
      <c r="C442">
        <v>1</v>
      </c>
      <c r="D442">
        <v>1</v>
      </c>
      <c r="E442">
        <v>3</v>
      </c>
      <c r="F442">
        <v>0</v>
      </c>
      <c r="G442">
        <v>6</v>
      </c>
      <c r="H442">
        <v>0</v>
      </c>
      <c r="I442">
        <v>2</v>
      </c>
      <c r="J442" s="7">
        <v>21080847</v>
      </c>
    </row>
    <row r="443" spans="1:10" x14ac:dyDescent="0.35">
      <c r="A443">
        <v>442</v>
      </c>
      <c r="B443" s="6">
        <v>43542</v>
      </c>
      <c r="C443">
        <v>1</v>
      </c>
      <c r="D443">
        <v>1</v>
      </c>
      <c r="E443">
        <v>3</v>
      </c>
      <c r="F443">
        <v>0</v>
      </c>
      <c r="G443">
        <v>0</v>
      </c>
      <c r="H443">
        <v>0</v>
      </c>
      <c r="I443">
        <v>2</v>
      </c>
      <c r="J443" s="7">
        <v>193725</v>
      </c>
    </row>
    <row r="444" spans="1:10" x14ac:dyDescent="0.35">
      <c r="A444">
        <v>443</v>
      </c>
      <c r="B444" s="6">
        <v>43543</v>
      </c>
      <c r="C444">
        <v>1</v>
      </c>
      <c r="D444">
        <v>1</v>
      </c>
      <c r="E444">
        <v>3</v>
      </c>
      <c r="F444">
        <v>0</v>
      </c>
      <c r="G444">
        <v>1</v>
      </c>
      <c r="H444">
        <v>1</v>
      </c>
      <c r="I444">
        <v>1</v>
      </c>
      <c r="J444" s="7">
        <v>22345</v>
      </c>
    </row>
    <row r="445" spans="1:10" x14ac:dyDescent="0.35">
      <c r="A445">
        <v>444</v>
      </c>
      <c r="B445" s="6">
        <v>43544</v>
      </c>
      <c r="C445">
        <v>1</v>
      </c>
      <c r="D445">
        <v>1</v>
      </c>
      <c r="E445">
        <v>3</v>
      </c>
      <c r="F445">
        <v>0</v>
      </c>
      <c r="G445">
        <v>2</v>
      </c>
      <c r="H445">
        <v>1</v>
      </c>
      <c r="I445">
        <v>1</v>
      </c>
      <c r="J445" s="7">
        <v>22994153</v>
      </c>
    </row>
    <row r="446" spans="1:10" x14ac:dyDescent="0.35">
      <c r="A446">
        <v>445</v>
      </c>
      <c r="B446" s="6">
        <v>43545</v>
      </c>
      <c r="C446">
        <v>2</v>
      </c>
      <c r="D446">
        <v>1</v>
      </c>
      <c r="E446">
        <v>3</v>
      </c>
      <c r="F446">
        <v>0</v>
      </c>
      <c r="G446">
        <v>3</v>
      </c>
      <c r="H446">
        <v>1</v>
      </c>
      <c r="I446">
        <v>2</v>
      </c>
      <c r="J446" s="7">
        <v>21798347</v>
      </c>
    </row>
    <row r="447" spans="1:10" x14ac:dyDescent="0.35">
      <c r="A447">
        <v>446</v>
      </c>
      <c r="B447" s="6">
        <v>43546</v>
      </c>
      <c r="C447">
        <v>2</v>
      </c>
      <c r="D447">
        <v>1</v>
      </c>
      <c r="E447">
        <v>3</v>
      </c>
      <c r="F447">
        <v>0</v>
      </c>
      <c r="G447">
        <v>4</v>
      </c>
      <c r="H447">
        <v>1</v>
      </c>
      <c r="I447">
        <v>1</v>
      </c>
      <c r="J447" s="7">
        <v>22720847</v>
      </c>
    </row>
    <row r="448" spans="1:10" x14ac:dyDescent="0.35">
      <c r="A448">
        <v>447</v>
      </c>
      <c r="B448" s="6">
        <v>43547</v>
      </c>
      <c r="C448">
        <v>2</v>
      </c>
      <c r="D448">
        <v>1</v>
      </c>
      <c r="E448">
        <v>3</v>
      </c>
      <c r="F448">
        <v>0</v>
      </c>
      <c r="G448">
        <v>5</v>
      </c>
      <c r="H448">
        <v>1</v>
      </c>
      <c r="I448">
        <v>2</v>
      </c>
      <c r="J448" s="7">
        <v>24668347</v>
      </c>
    </row>
    <row r="449" spans="1:10" x14ac:dyDescent="0.35">
      <c r="A449">
        <v>448</v>
      </c>
      <c r="B449" s="6">
        <v>43548</v>
      </c>
      <c r="C449">
        <v>2</v>
      </c>
      <c r="D449">
        <v>1</v>
      </c>
      <c r="E449">
        <v>3</v>
      </c>
      <c r="F449">
        <v>0</v>
      </c>
      <c r="G449">
        <v>6</v>
      </c>
      <c r="H449">
        <v>0</v>
      </c>
      <c r="I449">
        <v>2</v>
      </c>
      <c r="J449" s="7">
        <v>206025</v>
      </c>
    </row>
    <row r="450" spans="1:10" x14ac:dyDescent="0.35">
      <c r="A450">
        <v>449</v>
      </c>
      <c r="B450" s="6">
        <v>43549</v>
      </c>
      <c r="C450">
        <v>2</v>
      </c>
      <c r="D450">
        <v>1</v>
      </c>
      <c r="E450">
        <v>3</v>
      </c>
      <c r="F450">
        <v>0</v>
      </c>
      <c r="G450">
        <v>0</v>
      </c>
      <c r="H450">
        <v>0</v>
      </c>
      <c r="I450">
        <v>2</v>
      </c>
      <c r="J450" s="7">
        <v>179375</v>
      </c>
    </row>
    <row r="451" spans="1:10" x14ac:dyDescent="0.35">
      <c r="A451">
        <v>450</v>
      </c>
      <c r="B451" s="6">
        <v>43550</v>
      </c>
      <c r="C451">
        <v>2</v>
      </c>
      <c r="D451">
        <v>1</v>
      </c>
      <c r="E451">
        <v>3</v>
      </c>
      <c r="F451">
        <v>0</v>
      </c>
      <c r="G451">
        <v>1</v>
      </c>
      <c r="H451">
        <v>1</v>
      </c>
      <c r="I451">
        <v>1</v>
      </c>
      <c r="J451" s="7">
        <v>18279153</v>
      </c>
    </row>
    <row r="452" spans="1:10" x14ac:dyDescent="0.35">
      <c r="A452">
        <v>451</v>
      </c>
      <c r="B452" s="6">
        <v>43551</v>
      </c>
      <c r="C452">
        <v>2</v>
      </c>
      <c r="D452">
        <v>1</v>
      </c>
      <c r="E452">
        <v>3</v>
      </c>
      <c r="F452">
        <v>0</v>
      </c>
      <c r="G452">
        <v>2</v>
      </c>
      <c r="H452">
        <v>1</v>
      </c>
      <c r="I452">
        <v>1</v>
      </c>
      <c r="J452" s="7">
        <v>13256653</v>
      </c>
    </row>
    <row r="453" spans="1:10" x14ac:dyDescent="0.35">
      <c r="A453">
        <v>452</v>
      </c>
      <c r="B453" s="6">
        <v>43552</v>
      </c>
      <c r="C453">
        <v>2</v>
      </c>
      <c r="D453">
        <v>1</v>
      </c>
      <c r="E453">
        <v>3</v>
      </c>
      <c r="F453">
        <v>0</v>
      </c>
      <c r="G453">
        <v>3</v>
      </c>
      <c r="H453">
        <v>1</v>
      </c>
      <c r="I453">
        <v>1</v>
      </c>
      <c r="J453" s="7">
        <v>19850847</v>
      </c>
    </row>
    <row r="454" spans="1:10" x14ac:dyDescent="0.35">
      <c r="A454">
        <v>453</v>
      </c>
      <c r="B454" s="6">
        <v>43553</v>
      </c>
      <c r="C454">
        <v>2</v>
      </c>
      <c r="D454">
        <v>1</v>
      </c>
      <c r="E454">
        <v>3</v>
      </c>
      <c r="F454">
        <v>0</v>
      </c>
      <c r="G454">
        <v>4</v>
      </c>
      <c r="H454">
        <v>1</v>
      </c>
      <c r="I454">
        <v>1</v>
      </c>
      <c r="J454" s="7">
        <v>20260847</v>
      </c>
    </row>
    <row r="455" spans="1:10" x14ac:dyDescent="0.35">
      <c r="A455">
        <v>454</v>
      </c>
      <c r="B455" s="6">
        <v>43554</v>
      </c>
      <c r="C455">
        <v>2</v>
      </c>
      <c r="D455">
        <v>1</v>
      </c>
      <c r="E455">
        <v>3</v>
      </c>
      <c r="F455">
        <v>0</v>
      </c>
      <c r="G455">
        <v>5</v>
      </c>
      <c r="H455">
        <v>1</v>
      </c>
      <c r="I455">
        <v>2</v>
      </c>
      <c r="J455" t="s">
        <v>81</v>
      </c>
    </row>
    <row r="456" spans="1:10" x14ac:dyDescent="0.35">
      <c r="A456">
        <v>455</v>
      </c>
      <c r="B456" s="6">
        <v>43555</v>
      </c>
      <c r="C456">
        <v>2</v>
      </c>
      <c r="D456">
        <v>1</v>
      </c>
      <c r="E456">
        <v>3</v>
      </c>
      <c r="F456">
        <v>0</v>
      </c>
      <c r="G456">
        <v>6</v>
      </c>
      <c r="H456">
        <v>0</v>
      </c>
      <c r="I456">
        <v>2</v>
      </c>
      <c r="J456" s="7">
        <v>17390847</v>
      </c>
    </row>
    <row r="457" spans="1:10" x14ac:dyDescent="0.35">
      <c r="A457">
        <v>456</v>
      </c>
      <c r="B457" s="6">
        <v>43556</v>
      </c>
      <c r="C457">
        <v>2</v>
      </c>
      <c r="D457">
        <v>1</v>
      </c>
      <c r="E457">
        <v>4</v>
      </c>
      <c r="F457">
        <v>0</v>
      </c>
      <c r="G457">
        <v>0</v>
      </c>
      <c r="H457">
        <v>0</v>
      </c>
      <c r="I457">
        <v>2</v>
      </c>
      <c r="J457" s="7">
        <v>17459153</v>
      </c>
    </row>
    <row r="458" spans="1:10" x14ac:dyDescent="0.35">
      <c r="A458">
        <v>457</v>
      </c>
      <c r="B458" s="6">
        <v>43557</v>
      </c>
      <c r="C458">
        <v>2</v>
      </c>
      <c r="D458">
        <v>1</v>
      </c>
      <c r="E458">
        <v>4</v>
      </c>
      <c r="F458">
        <v>0</v>
      </c>
      <c r="G458">
        <v>1</v>
      </c>
      <c r="H458">
        <v>1</v>
      </c>
      <c r="I458">
        <v>1</v>
      </c>
      <c r="J458" s="7">
        <v>17790433</v>
      </c>
    </row>
    <row r="459" spans="1:10" x14ac:dyDescent="0.35">
      <c r="A459">
        <v>458</v>
      </c>
      <c r="B459" s="6">
        <v>43558</v>
      </c>
      <c r="C459">
        <v>2</v>
      </c>
      <c r="D459">
        <v>1</v>
      </c>
      <c r="E459">
        <v>4</v>
      </c>
      <c r="F459">
        <v>0</v>
      </c>
      <c r="G459">
        <v>2</v>
      </c>
      <c r="H459">
        <v>1</v>
      </c>
      <c r="I459">
        <v>1</v>
      </c>
      <c r="J459" s="7">
        <v>19133347</v>
      </c>
    </row>
    <row r="460" spans="1:10" x14ac:dyDescent="0.35">
      <c r="A460">
        <v>459</v>
      </c>
      <c r="B460" s="6">
        <v>43559</v>
      </c>
      <c r="C460">
        <v>2</v>
      </c>
      <c r="D460">
        <v>1</v>
      </c>
      <c r="E460">
        <v>4</v>
      </c>
      <c r="F460">
        <v>0</v>
      </c>
      <c r="G460">
        <v>3</v>
      </c>
      <c r="H460">
        <v>1</v>
      </c>
      <c r="I460">
        <v>1</v>
      </c>
      <c r="J460" s="7">
        <v>22208347</v>
      </c>
    </row>
    <row r="461" spans="1:10" x14ac:dyDescent="0.35">
      <c r="A461">
        <v>460</v>
      </c>
      <c r="B461" s="6">
        <v>43560</v>
      </c>
      <c r="C461">
        <v>2</v>
      </c>
      <c r="D461">
        <v>1</v>
      </c>
      <c r="E461">
        <v>4</v>
      </c>
      <c r="F461">
        <v>0</v>
      </c>
      <c r="G461">
        <v>4</v>
      </c>
      <c r="H461">
        <v>1</v>
      </c>
      <c r="I461">
        <v>1</v>
      </c>
      <c r="J461" s="7">
        <v>17835</v>
      </c>
    </row>
    <row r="462" spans="1:10" x14ac:dyDescent="0.35">
      <c r="A462">
        <v>461</v>
      </c>
      <c r="B462" s="6">
        <v>43561</v>
      </c>
      <c r="C462">
        <v>2</v>
      </c>
      <c r="D462">
        <v>1</v>
      </c>
      <c r="E462">
        <v>4</v>
      </c>
      <c r="F462">
        <v>0</v>
      </c>
      <c r="G462">
        <v>5</v>
      </c>
      <c r="H462">
        <v>1</v>
      </c>
      <c r="I462">
        <v>1</v>
      </c>
      <c r="J462" s="7">
        <v>16536653</v>
      </c>
    </row>
    <row r="463" spans="1:10" x14ac:dyDescent="0.35">
      <c r="A463">
        <v>462</v>
      </c>
      <c r="B463" s="6">
        <v>43562</v>
      </c>
      <c r="C463">
        <v>2</v>
      </c>
      <c r="D463">
        <v>1</v>
      </c>
      <c r="E463">
        <v>4</v>
      </c>
      <c r="F463">
        <v>0</v>
      </c>
      <c r="G463">
        <v>6</v>
      </c>
      <c r="H463">
        <v>0</v>
      </c>
      <c r="I463">
        <v>1</v>
      </c>
      <c r="J463" s="7">
        <v>179375</v>
      </c>
    </row>
    <row r="464" spans="1:10" x14ac:dyDescent="0.35">
      <c r="A464">
        <v>463</v>
      </c>
      <c r="B464" s="6">
        <v>43563</v>
      </c>
      <c r="C464">
        <v>2</v>
      </c>
      <c r="D464">
        <v>1</v>
      </c>
      <c r="E464">
        <v>4</v>
      </c>
      <c r="F464">
        <v>0</v>
      </c>
      <c r="G464">
        <v>0</v>
      </c>
      <c r="H464">
        <v>0</v>
      </c>
      <c r="I464">
        <v>1</v>
      </c>
      <c r="J464" t="s">
        <v>87</v>
      </c>
    </row>
    <row r="465" spans="1:10" x14ac:dyDescent="0.35">
      <c r="A465">
        <v>464</v>
      </c>
      <c r="B465" s="6">
        <v>43564</v>
      </c>
      <c r="C465">
        <v>2</v>
      </c>
      <c r="D465">
        <v>1</v>
      </c>
      <c r="E465">
        <v>4</v>
      </c>
      <c r="F465">
        <v>0</v>
      </c>
      <c r="G465">
        <v>1</v>
      </c>
      <c r="H465">
        <v>1</v>
      </c>
      <c r="I465">
        <v>1</v>
      </c>
      <c r="J465" s="7">
        <v>20055847</v>
      </c>
    </row>
    <row r="466" spans="1:10" x14ac:dyDescent="0.35">
      <c r="A466">
        <v>465</v>
      </c>
      <c r="B466" s="6">
        <v>43565</v>
      </c>
      <c r="C466">
        <v>2</v>
      </c>
      <c r="D466">
        <v>1</v>
      </c>
      <c r="E466">
        <v>4</v>
      </c>
      <c r="F466">
        <v>0</v>
      </c>
      <c r="G466">
        <v>2</v>
      </c>
      <c r="H466">
        <v>1</v>
      </c>
      <c r="I466">
        <v>1</v>
      </c>
      <c r="J466" s="7">
        <v>18313347</v>
      </c>
    </row>
    <row r="467" spans="1:10" x14ac:dyDescent="0.35">
      <c r="A467">
        <v>466</v>
      </c>
      <c r="B467" s="6">
        <v>43566</v>
      </c>
      <c r="C467">
        <v>2</v>
      </c>
      <c r="D467">
        <v>1</v>
      </c>
      <c r="E467">
        <v>4</v>
      </c>
      <c r="F467">
        <v>0</v>
      </c>
      <c r="G467">
        <v>3</v>
      </c>
      <c r="H467">
        <v>1</v>
      </c>
      <c r="I467">
        <v>1</v>
      </c>
      <c r="J467" s="7">
        <v>14296536</v>
      </c>
    </row>
    <row r="468" spans="1:10" x14ac:dyDescent="0.35">
      <c r="A468">
        <v>467</v>
      </c>
      <c r="B468" s="6">
        <v>43567</v>
      </c>
      <c r="C468">
        <v>2</v>
      </c>
      <c r="D468">
        <v>1</v>
      </c>
      <c r="E468">
        <v>4</v>
      </c>
      <c r="F468">
        <v>0</v>
      </c>
      <c r="G468">
        <v>4</v>
      </c>
      <c r="H468">
        <v>1</v>
      </c>
      <c r="I468">
        <v>1</v>
      </c>
      <c r="J468" s="7">
        <v>162975</v>
      </c>
    </row>
    <row r="469" spans="1:10" x14ac:dyDescent="0.35">
      <c r="A469">
        <v>468</v>
      </c>
      <c r="B469" s="6">
        <v>43568</v>
      </c>
      <c r="C469">
        <v>2</v>
      </c>
      <c r="D469">
        <v>1</v>
      </c>
      <c r="E469">
        <v>4</v>
      </c>
      <c r="F469">
        <v>0</v>
      </c>
      <c r="G469">
        <v>5</v>
      </c>
      <c r="H469">
        <v>1</v>
      </c>
      <c r="I469">
        <v>1</v>
      </c>
      <c r="J469" s="7">
        <v>181425</v>
      </c>
    </row>
    <row r="470" spans="1:10" x14ac:dyDescent="0.35">
      <c r="A470">
        <v>469</v>
      </c>
      <c r="B470" s="6">
        <v>43569</v>
      </c>
      <c r="C470">
        <v>2</v>
      </c>
      <c r="D470">
        <v>1</v>
      </c>
      <c r="E470">
        <v>4</v>
      </c>
      <c r="F470">
        <v>0</v>
      </c>
      <c r="G470">
        <v>6</v>
      </c>
      <c r="H470">
        <v>0</v>
      </c>
      <c r="I470">
        <v>1</v>
      </c>
      <c r="J470" s="7">
        <v>20295</v>
      </c>
    </row>
    <row r="471" spans="1:10" x14ac:dyDescent="0.35">
      <c r="A471">
        <v>470</v>
      </c>
      <c r="B471" s="6">
        <v>43570</v>
      </c>
      <c r="C471">
        <v>2</v>
      </c>
      <c r="D471">
        <v>1</v>
      </c>
      <c r="E471">
        <v>4</v>
      </c>
      <c r="F471">
        <v>0</v>
      </c>
      <c r="G471">
        <v>0</v>
      </c>
      <c r="H471">
        <v>0</v>
      </c>
      <c r="I471">
        <v>1</v>
      </c>
      <c r="J471" s="7">
        <v>24873347</v>
      </c>
    </row>
    <row r="472" spans="1:10" x14ac:dyDescent="0.35">
      <c r="A472">
        <v>471</v>
      </c>
      <c r="B472" s="6">
        <v>43571</v>
      </c>
      <c r="C472">
        <v>2</v>
      </c>
      <c r="D472">
        <v>1</v>
      </c>
      <c r="E472">
        <v>4</v>
      </c>
      <c r="F472">
        <v>1</v>
      </c>
      <c r="G472">
        <v>1</v>
      </c>
      <c r="H472">
        <v>0</v>
      </c>
      <c r="I472">
        <v>1</v>
      </c>
      <c r="J472" s="7">
        <v>27230847</v>
      </c>
    </row>
    <row r="473" spans="1:10" x14ac:dyDescent="0.35">
      <c r="A473">
        <v>472</v>
      </c>
      <c r="B473" s="6">
        <v>43572</v>
      </c>
      <c r="C473">
        <v>2</v>
      </c>
      <c r="D473">
        <v>1</v>
      </c>
      <c r="E473">
        <v>4</v>
      </c>
      <c r="F473">
        <v>0</v>
      </c>
      <c r="G473">
        <v>2</v>
      </c>
      <c r="H473">
        <v>1</v>
      </c>
      <c r="I473">
        <v>1</v>
      </c>
      <c r="J473" s="7">
        <v>24941653</v>
      </c>
    </row>
    <row r="474" spans="1:10" x14ac:dyDescent="0.35">
      <c r="A474">
        <v>473</v>
      </c>
      <c r="B474" s="6">
        <v>43573</v>
      </c>
      <c r="C474">
        <v>2</v>
      </c>
      <c r="D474">
        <v>1</v>
      </c>
      <c r="E474">
        <v>4</v>
      </c>
      <c r="F474">
        <v>0</v>
      </c>
      <c r="G474">
        <v>3</v>
      </c>
      <c r="H474">
        <v>1</v>
      </c>
      <c r="I474">
        <v>2</v>
      </c>
      <c r="J474" s="7">
        <v>18996653</v>
      </c>
    </row>
    <row r="475" spans="1:10" x14ac:dyDescent="0.35">
      <c r="A475">
        <v>474</v>
      </c>
      <c r="B475" s="6">
        <v>43574</v>
      </c>
      <c r="C475">
        <v>2</v>
      </c>
      <c r="D475">
        <v>1</v>
      </c>
      <c r="E475">
        <v>4</v>
      </c>
      <c r="F475">
        <v>0</v>
      </c>
      <c r="G475">
        <v>4</v>
      </c>
      <c r="H475">
        <v>1</v>
      </c>
      <c r="I475">
        <v>1</v>
      </c>
      <c r="J475" s="7">
        <v>20431653</v>
      </c>
    </row>
    <row r="476" spans="1:10" x14ac:dyDescent="0.35">
      <c r="A476">
        <v>475</v>
      </c>
      <c r="B476" s="6">
        <v>43575</v>
      </c>
      <c r="C476">
        <v>2</v>
      </c>
      <c r="D476">
        <v>1</v>
      </c>
      <c r="E476">
        <v>4</v>
      </c>
      <c r="F476">
        <v>0</v>
      </c>
      <c r="G476">
        <v>5</v>
      </c>
      <c r="H476">
        <v>1</v>
      </c>
      <c r="I476">
        <v>1</v>
      </c>
      <c r="J476" s="7">
        <v>21593347</v>
      </c>
    </row>
    <row r="477" spans="1:10" x14ac:dyDescent="0.35">
      <c r="A477">
        <v>476</v>
      </c>
      <c r="B477" s="6">
        <v>43576</v>
      </c>
      <c r="C477">
        <v>2</v>
      </c>
      <c r="D477">
        <v>1</v>
      </c>
      <c r="E477">
        <v>4</v>
      </c>
      <c r="F477">
        <v>0</v>
      </c>
      <c r="G477">
        <v>6</v>
      </c>
      <c r="H477">
        <v>0</v>
      </c>
      <c r="I477">
        <v>1</v>
      </c>
      <c r="J477" t="s">
        <v>88</v>
      </c>
    </row>
    <row r="478" spans="1:10" x14ac:dyDescent="0.35">
      <c r="A478">
        <v>477</v>
      </c>
      <c r="B478" s="6">
        <v>43577</v>
      </c>
      <c r="C478">
        <v>2</v>
      </c>
      <c r="D478">
        <v>1</v>
      </c>
      <c r="E478">
        <v>4</v>
      </c>
      <c r="F478">
        <v>0</v>
      </c>
      <c r="G478">
        <v>0</v>
      </c>
      <c r="H478">
        <v>0</v>
      </c>
      <c r="I478">
        <v>3</v>
      </c>
      <c r="J478" s="7">
        <v>16263347</v>
      </c>
    </row>
    <row r="479" spans="1:10" x14ac:dyDescent="0.35">
      <c r="A479">
        <v>478</v>
      </c>
      <c r="B479" s="6">
        <v>43578</v>
      </c>
      <c r="C479">
        <v>2</v>
      </c>
      <c r="D479">
        <v>1</v>
      </c>
      <c r="E479">
        <v>4</v>
      </c>
      <c r="F479">
        <v>0</v>
      </c>
      <c r="G479">
        <v>1</v>
      </c>
      <c r="H479">
        <v>1</v>
      </c>
      <c r="I479">
        <v>2</v>
      </c>
      <c r="J479" s="7">
        <v>13188347</v>
      </c>
    </row>
    <row r="480" spans="1:10" x14ac:dyDescent="0.35">
      <c r="A480">
        <v>479</v>
      </c>
      <c r="B480" s="6">
        <v>43579</v>
      </c>
      <c r="C480">
        <v>2</v>
      </c>
      <c r="D480">
        <v>1</v>
      </c>
      <c r="E480">
        <v>4</v>
      </c>
      <c r="F480">
        <v>0</v>
      </c>
      <c r="G480">
        <v>2</v>
      </c>
      <c r="H480">
        <v>1</v>
      </c>
      <c r="I480">
        <v>1</v>
      </c>
      <c r="J480" s="7">
        <v>16946653</v>
      </c>
    </row>
    <row r="481" spans="1:10" x14ac:dyDescent="0.35">
      <c r="A481">
        <v>480</v>
      </c>
      <c r="B481" s="6">
        <v>43580</v>
      </c>
      <c r="C481">
        <v>2</v>
      </c>
      <c r="D481">
        <v>1</v>
      </c>
      <c r="E481">
        <v>4</v>
      </c>
      <c r="F481">
        <v>0</v>
      </c>
      <c r="G481">
        <v>3</v>
      </c>
      <c r="H481">
        <v>1</v>
      </c>
      <c r="I481">
        <v>1</v>
      </c>
      <c r="J481" s="7">
        <v>19543347</v>
      </c>
    </row>
    <row r="482" spans="1:10" x14ac:dyDescent="0.35">
      <c r="A482">
        <v>481</v>
      </c>
      <c r="B482" s="6">
        <v>43581</v>
      </c>
      <c r="C482">
        <v>2</v>
      </c>
      <c r="D482">
        <v>1</v>
      </c>
      <c r="E482">
        <v>4</v>
      </c>
      <c r="F482">
        <v>0</v>
      </c>
      <c r="G482">
        <v>4</v>
      </c>
      <c r="H482">
        <v>1</v>
      </c>
      <c r="I482">
        <v>2</v>
      </c>
      <c r="J482" s="7">
        <v>20431653</v>
      </c>
    </row>
    <row r="483" spans="1:10" x14ac:dyDescent="0.35">
      <c r="A483">
        <v>482</v>
      </c>
      <c r="B483" s="6">
        <v>43582</v>
      </c>
      <c r="C483">
        <v>2</v>
      </c>
      <c r="D483">
        <v>1</v>
      </c>
      <c r="E483">
        <v>4</v>
      </c>
      <c r="F483">
        <v>0</v>
      </c>
      <c r="G483">
        <v>5</v>
      </c>
      <c r="H483">
        <v>1</v>
      </c>
      <c r="I483">
        <v>1</v>
      </c>
      <c r="J483" s="7">
        <v>187575</v>
      </c>
    </row>
    <row r="484" spans="1:10" x14ac:dyDescent="0.35">
      <c r="A484">
        <v>483</v>
      </c>
      <c r="B484" s="6">
        <v>43583</v>
      </c>
      <c r="C484">
        <v>2</v>
      </c>
      <c r="D484">
        <v>1</v>
      </c>
      <c r="E484">
        <v>4</v>
      </c>
      <c r="F484">
        <v>0</v>
      </c>
      <c r="G484">
        <v>6</v>
      </c>
      <c r="H484">
        <v>0</v>
      </c>
      <c r="I484">
        <v>2</v>
      </c>
      <c r="J484" s="7">
        <v>15443347</v>
      </c>
    </row>
    <row r="485" spans="1:10" x14ac:dyDescent="0.35">
      <c r="A485">
        <v>484</v>
      </c>
      <c r="B485" s="6">
        <v>43584</v>
      </c>
      <c r="C485">
        <v>2</v>
      </c>
      <c r="D485">
        <v>1</v>
      </c>
      <c r="E485">
        <v>4</v>
      </c>
      <c r="F485">
        <v>0</v>
      </c>
      <c r="G485">
        <v>0</v>
      </c>
      <c r="H485">
        <v>0</v>
      </c>
      <c r="I485">
        <v>1</v>
      </c>
      <c r="J485" s="7">
        <v>18791653</v>
      </c>
    </row>
    <row r="486" spans="1:10" x14ac:dyDescent="0.35">
      <c r="A486">
        <v>485</v>
      </c>
      <c r="B486" s="6">
        <v>43585</v>
      </c>
      <c r="C486">
        <v>2</v>
      </c>
      <c r="D486">
        <v>1</v>
      </c>
      <c r="E486">
        <v>4</v>
      </c>
      <c r="F486">
        <v>0</v>
      </c>
      <c r="G486">
        <v>1</v>
      </c>
      <c r="H486">
        <v>1</v>
      </c>
      <c r="I486">
        <v>2</v>
      </c>
      <c r="J486" s="7">
        <v>19030847</v>
      </c>
    </row>
    <row r="487" spans="1:10" x14ac:dyDescent="0.35">
      <c r="A487">
        <v>486</v>
      </c>
      <c r="B487" s="6">
        <v>43586</v>
      </c>
      <c r="C487">
        <v>2</v>
      </c>
      <c r="D487">
        <v>1</v>
      </c>
      <c r="E487">
        <v>5</v>
      </c>
      <c r="F487">
        <v>0</v>
      </c>
      <c r="G487">
        <v>2</v>
      </c>
      <c r="H487">
        <v>1</v>
      </c>
      <c r="I487">
        <v>2</v>
      </c>
      <c r="J487" s="7">
        <v>25146653</v>
      </c>
    </row>
    <row r="488" spans="1:10" x14ac:dyDescent="0.35">
      <c r="A488">
        <v>487</v>
      </c>
      <c r="B488" s="6">
        <v>43587</v>
      </c>
      <c r="C488">
        <v>2</v>
      </c>
      <c r="D488">
        <v>1</v>
      </c>
      <c r="E488">
        <v>5</v>
      </c>
      <c r="F488">
        <v>0</v>
      </c>
      <c r="G488">
        <v>3</v>
      </c>
      <c r="H488">
        <v>1</v>
      </c>
      <c r="I488">
        <v>1</v>
      </c>
      <c r="J488" s="7">
        <v>23130847</v>
      </c>
    </row>
    <row r="489" spans="1:10" x14ac:dyDescent="0.35">
      <c r="A489">
        <v>488</v>
      </c>
      <c r="B489" s="6">
        <v>43588</v>
      </c>
      <c r="C489">
        <v>2</v>
      </c>
      <c r="D489">
        <v>1</v>
      </c>
      <c r="E489">
        <v>5</v>
      </c>
      <c r="F489">
        <v>0</v>
      </c>
      <c r="G489">
        <v>4</v>
      </c>
      <c r="H489">
        <v>1</v>
      </c>
      <c r="I489">
        <v>2</v>
      </c>
      <c r="J489" t="s">
        <v>89</v>
      </c>
    </row>
    <row r="490" spans="1:10" x14ac:dyDescent="0.35">
      <c r="A490">
        <v>489</v>
      </c>
      <c r="B490" s="6">
        <v>43589</v>
      </c>
      <c r="C490">
        <v>2</v>
      </c>
      <c r="D490">
        <v>1</v>
      </c>
      <c r="E490">
        <v>5</v>
      </c>
      <c r="F490">
        <v>0</v>
      </c>
      <c r="G490">
        <v>5</v>
      </c>
      <c r="H490">
        <v>1</v>
      </c>
      <c r="I490">
        <v>1</v>
      </c>
      <c r="J490" s="7">
        <v>257275</v>
      </c>
    </row>
    <row r="491" spans="1:10" x14ac:dyDescent="0.35">
      <c r="A491">
        <v>490</v>
      </c>
      <c r="B491" s="6">
        <v>43590</v>
      </c>
      <c r="C491">
        <v>2</v>
      </c>
      <c r="D491">
        <v>1</v>
      </c>
      <c r="E491">
        <v>5</v>
      </c>
      <c r="F491">
        <v>0</v>
      </c>
      <c r="G491">
        <v>6</v>
      </c>
      <c r="H491">
        <v>0</v>
      </c>
      <c r="I491">
        <v>2</v>
      </c>
      <c r="J491" s="7">
        <v>25488347</v>
      </c>
    </row>
    <row r="492" spans="1:10" x14ac:dyDescent="0.35">
      <c r="A492">
        <v>491</v>
      </c>
      <c r="B492" s="6">
        <v>43591</v>
      </c>
      <c r="C492">
        <v>2</v>
      </c>
      <c r="D492">
        <v>1</v>
      </c>
      <c r="E492">
        <v>5</v>
      </c>
      <c r="F492">
        <v>0</v>
      </c>
      <c r="G492">
        <v>0</v>
      </c>
      <c r="H492">
        <v>0</v>
      </c>
      <c r="I492">
        <v>2</v>
      </c>
      <c r="J492" s="7">
        <v>230625</v>
      </c>
    </row>
    <row r="493" spans="1:10" x14ac:dyDescent="0.35">
      <c r="A493">
        <v>492</v>
      </c>
      <c r="B493" s="6">
        <v>43592</v>
      </c>
      <c r="C493">
        <v>2</v>
      </c>
      <c r="D493">
        <v>1</v>
      </c>
      <c r="E493">
        <v>5</v>
      </c>
      <c r="F493">
        <v>0</v>
      </c>
      <c r="G493">
        <v>1</v>
      </c>
      <c r="H493">
        <v>1</v>
      </c>
      <c r="I493">
        <v>2</v>
      </c>
      <c r="J493" s="7">
        <v>220375</v>
      </c>
    </row>
    <row r="494" spans="1:10" x14ac:dyDescent="0.35">
      <c r="A494">
        <v>493</v>
      </c>
      <c r="B494" s="6">
        <v>43593</v>
      </c>
      <c r="C494">
        <v>2</v>
      </c>
      <c r="D494">
        <v>1</v>
      </c>
      <c r="E494">
        <v>5</v>
      </c>
      <c r="F494">
        <v>0</v>
      </c>
      <c r="G494">
        <v>2</v>
      </c>
      <c r="H494">
        <v>1</v>
      </c>
      <c r="I494">
        <v>2</v>
      </c>
      <c r="J494" s="7">
        <v>23848347</v>
      </c>
    </row>
    <row r="495" spans="1:10" x14ac:dyDescent="0.35">
      <c r="A495">
        <v>494</v>
      </c>
      <c r="B495" s="6">
        <v>43594</v>
      </c>
      <c r="C495">
        <v>2</v>
      </c>
      <c r="D495">
        <v>1</v>
      </c>
      <c r="E495">
        <v>5</v>
      </c>
      <c r="F495">
        <v>0</v>
      </c>
      <c r="G495">
        <v>3</v>
      </c>
      <c r="H495">
        <v>1</v>
      </c>
      <c r="I495">
        <v>2</v>
      </c>
      <c r="J495" s="7">
        <v>23575</v>
      </c>
    </row>
    <row r="496" spans="1:10" x14ac:dyDescent="0.35">
      <c r="A496">
        <v>495</v>
      </c>
      <c r="B496" s="6">
        <v>43595</v>
      </c>
      <c r="C496">
        <v>2</v>
      </c>
      <c r="D496">
        <v>1</v>
      </c>
      <c r="E496">
        <v>5</v>
      </c>
      <c r="F496">
        <v>0</v>
      </c>
      <c r="G496">
        <v>4</v>
      </c>
      <c r="H496">
        <v>1</v>
      </c>
      <c r="I496">
        <v>1</v>
      </c>
      <c r="J496" s="7">
        <v>20739153</v>
      </c>
    </row>
    <row r="497" spans="1:10" x14ac:dyDescent="0.35">
      <c r="A497">
        <v>496</v>
      </c>
      <c r="B497" s="6">
        <v>43596</v>
      </c>
      <c r="C497">
        <v>2</v>
      </c>
      <c r="D497">
        <v>1</v>
      </c>
      <c r="E497">
        <v>5</v>
      </c>
      <c r="F497">
        <v>0</v>
      </c>
      <c r="G497">
        <v>5</v>
      </c>
      <c r="H497">
        <v>1</v>
      </c>
      <c r="I497">
        <v>1</v>
      </c>
      <c r="J497" s="7">
        <v>21866653</v>
      </c>
    </row>
    <row r="498" spans="1:10" x14ac:dyDescent="0.35">
      <c r="A498">
        <v>497</v>
      </c>
      <c r="B498" s="6">
        <v>43597</v>
      </c>
      <c r="C498">
        <v>2</v>
      </c>
      <c r="D498">
        <v>1</v>
      </c>
      <c r="E498">
        <v>5</v>
      </c>
      <c r="F498">
        <v>0</v>
      </c>
      <c r="G498">
        <v>6</v>
      </c>
      <c r="H498">
        <v>0</v>
      </c>
      <c r="I498">
        <v>1</v>
      </c>
      <c r="J498" s="7">
        <v>23130847</v>
      </c>
    </row>
    <row r="499" spans="1:10" x14ac:dyDescent="0.35">
      <c r="A499">
        <v>498</v>
      </c>
      <c r="B499" s="6">
        <v>43598</v>
      </c>
      <c r="C499">
        <v>2</v>
      </c>
      <c r="D499">
        <v>1</v>
      </c>
      <c r="E499">
        <v>5</v>
      </c>
      <c r="F499">
        <v>0</v>
      </c>
      <c r="G499">
        <v>0</v>
      </c>
      <c r="H499">
        <v>0</v>
      </c>
      <c r="I499">
        <v>1</v>
      </c>
      <c r="J499" s="7">
        <v>251125</v>
      </c>
    </row>
    <row r="500" spans="1:10" x14ac:dyDescent="0.35">
      <c r="A500">
        <v>499</v>
      </c>
      <c r="B500" s="6">
        <v>43599</v>
      </c>
      <c r="C500">
        <v>2</v>
      </c>
      <c r="D500">
        <v>1</v>
      </c>
      <c r="E500">
        <v>5</v>
      </c>
      <c r="F500">
        <v>0</v>
      </c>
      <c r="G500">
        <v>1</v>
      </c>
      <c r="H500">
        <v>1</v>
      </c>
      <c r="I500">
        <v>2</v>
      </c>
      <c r="J500" s="7">
        <v>23506653</v>
      </c>
    </row>
    <row r="501" spans="1:10" x14ac:dyDescent="0.35">
      <c r="A501">
        <v>500</v>
      </c>
      <c r="B501" s="6">
        <v>43600</v>
      </c>
      <c r="C501">
        <v>2</v>
      </c>
      <c r="D501">
        <v>1</v>
      </c>
      <c r="E501">
        <v>5</v>
      </c>
      <c r="F501">
        <v>0</v>
      </c>
      <c r="G501">
        <v>2</v>
      </c>
      <c r="H501">
        <v>1</v>
      </c>
      <c r="I501">
        <v>2</v>
      </c>
      <c r="J501" s="7">
        <v>25078347</v>
      </c>
    </row>
    <row r="502" spans="1:10" x14ac:dyDescent="0.35">
      <c r="A502">
        <v>501</v>
      </c>
      <c r="B502" s="6">
        <v>43601</v>
      </c>
      <c r="C502">
        <v>2</v>
      </c>
      <c r="D502">
        <v>1</v>
      </c>
      <c r="E502">
        <v>5</v>
      </c>
      <c r="F502">
        <v>0</v>
      </c>
      <c r="G502">
        <v>3</v>
      </c>
      <c r="H502">
        <v>1</v>
      </c>
      <c r="I502">
        <v>1</v>
      </c>
      <c r="J502" s="7">
        <v>26103347</v>
      </c>
    </row>
    <row r="503" spans="1:10" x14ac:dyDescent="0.35">
      <c r="A503">
        <v>502</v>
      </c>
      <c r="B503" s="6">
        <v>43602</v>
      </c>
      <c r="C503">
        <v>2</v>
      </c>
      <c r="D503">
        <v>1</v>
      </c>
      <c r="E503">
        <v>5</v>
      </c>
      <c r="F503">
        <v>0</v>
      </c>
      <c r="G503">
        <v>4</v>
      </c>
      <c r="H503">
        <v>1</v>
      </c>
      <c r="I503">
        <v>1</v>
      </c>
      <c r="J503" s="7">
        <v>24326653</v>
      </c>
    </row>
    <row r="504" spans="1:10" x14ac:dyDescent="0.35">
      <c r="A504">
        <v>503</v>
      </c>
      <c r="B504" s="6">
        <v>43603</v>
      </c>
      <c r="C504">
        <v>2</v>
      </c>
      <c r="D504">
        <v>1</v>
      </c>
      <c r="E504">
        <v>5</v>
      </c>
      <c r="F504">
        <v>0</v>
      </c>
      <c r="G504">
        <v>5</v>
      </c>
      <c r="H504">
        <v>1</v>
      </c>
      <c r="I504">
        <v>1</v>
      </c>
      <c r="J504" s="7">
        <v>23130847</v>
      </c>
    </row>
    <row r="505" spans="1:10" x14ac:dyDescent="0.35">
      <c r="A505">
        <v>504</v>
      </c>
      <c r="B505" s="6">
        <v>43604</v>
      </c>
      <c r="C505">
        <v>2</v>
      </c>
      <c r="D505">
        <v>1</v>
      </c>
      <c r="E505">
        <v>5</v>
      </c>
      <c r="F505">
        <v>0</v>
      </c>
      <c r="G505">
        <v>6</v>
      </c>
      <c r="H505">
        <v>0</v>
      </c>
      <c r="I505">
        <v>1</v>
      </c>
      <c r="J505" t="s">
        <v>90</v>
      </c>
    </row>
    <row r="506" spans="1:10" x14ac:dyDescent="0.35">
      <c r="A506">
        <v>505</v>
      </c>
      <c r="B506" s="6">
        <v>43605</v>
      </c>
      <c r="C506">
        <v>2</v>
      </c>
      <c r="D506">
        <v>1</v>
      </c>
      <c r="E506">
        <v>5</v>
      </c>
      <c r="F506">
        <v>0</v>
      </c>
      <c r="G506">
        <v>0</v>
      </c>
      <c r="H506">
        <v>0</v>
      </c>
      <c r="I506">
        <v>1</v>
      </c>
      <c r="J506" s="7">
        <v>25454153</v>
      </c>
    </row>
    <row r="507" spans="1:10" x14ac:dyDescent="0.35">
      <c r="A507">
        <v>506</v>
      </c>
      <c r="B507" s="6">
        <v>43606</v>
      </c>
      <c r="C507">
        <v>2</v>
      </c>
      <c r="D507">
        <v>1</v>
      </c>
      <c r="E507">
        <v>5</v>
      </c>
      <c r="F507">
        <v>0</v>
      </c>
      <c r="G507">
        <v>1</v>
      </c>
      <c r="H507">
        <v>1</v>
      </c>
      <c r="I507">
        <v>2</v>
      </c>
      <c r="J507" s="7">
        <v>24531653</v>
      </c>
    </row>
    <row r="508" spans="1:10" x14ac:dyDescent="0.35">
      <c r="A508">
        <v>507</v>
      </c>
      <c r="B508" s="6">
        <v>43607</v>
      </c>
      <c r="C508">
        <v>2</v>
      </c>
      <c r="D508">
        <v>1</v>
      </c>
      <c r="E508">
        <v>5</v>
      </c>
      <c r="F508">
        <v>0</v>
      </c>
      <c r="G508">
        <v>2</v>
      </c>
      <c r="H508">
        <v>1</v>
      </c>
      <c r="I508">
        <v>2</v>
      </c>
      <c r="J508" s="7">
        <v>25215</v>
      </c>
    </row>
    <row r="509" spans="1:10" x14ac:dyDescent="0.35">
      <c r="A509">
        <v>508</v>
      </c>
      <c r="B509" s="6">
        <v>43608</v>
      </c>
      <c r="C509">
        <v>2</v>
      </c>
      <c r="D509">
        <v>1</v>
      </c>
      <c r="E509">
        <v>5</v>
      </c>
      <c r="F509">
        <v>0</v>
      </c>
      <c r="G509">
        <v>3</v>
      </c>
      <c r="H509">
        <v>1</v>
      </c>
      <c r="I509">
        <v>2</v>
      </c>
      <c r="J509" s="7">
        <v>25488347</v>
      </c>
    </row>
    <row r="510" spans="1:10" x14ac:dyDescent="0.35">
      <c r="A510">
        <v>509</v>
      </c>
      <c r="B510" s="6">
        <v>43609</v>
      </c>
      <c r="C510">
        <v>2</v>
      </c>
      <c r="D510">
        <v>1</v>
      </c>
      <c r="E510">
        <v>5</v>
      </c>
      <c r="F510">
        <v>0</v>
      </c>
      <c r="G510">
        <v>4</v>
      </c>
      <c r="H510">
        <v>1</v>
      </c>
      <c r="I510">
        <v>1</v>
      </c>
      <c r="J510" s="7">
        <v>26855</v>
      </c>
    </row>
    <row r="511" spans="1:10" x14ac:dyDescent="0.35">
      <c r="A511">
        <v>510</v>
      </c>
      <c r="B511" s="6">
        <v>43610</v>
      </c>
      <c r="C511">
        <v>2</v>
      </c>
      <c r="D511">
        <v>1</v>
      </c>
      <c r="E511">
        <v>5</v>
      </c>
      <c r="F511">
        <v>0</v>
      </c>
      <c r="G511">
        <v>5</v>
      </c>
      <c r="H511">
        <v>1</v>
      </c>
      <c r="I511">
        <v>1</v>
      </c>
      <c r="J511" t="s">
        <v>68</v>
      </c>
    </row>
    <row r="512" spans="1:10" x14ac:dyDescent="0.35">
      <c r="A512">
        <v>511</v>
      </c>
      <c r="B512" s="6">
        <v>43611</v>
      </c>
      <c r="C512">
        <v>2</v>
      </c>
      <c r="D512">
        <v>1</v>
      </c>
      <c r="E512">
        <v>5</v>
      </c>
      <c r="F512">
        <v>0</v>
      </c>
      <c r="G512">
        <v>6</v>
      </c>
      <c r="H512">
        <v>0</v>
      </c>
      <c r="I512">
        <v>1</v>
      </c>
      <c r="J512" s="7">
        <v>283925</v>
      </c>
    </row>
    <row r="513" spans="1:10" x14ac:dyDescent="0.35">
      <c r="A513">
        <v>512</v>
      </c>
      <c r="B513" s="6">
        <v>43612</v>
      </c>
      <c r="C513">
        <v>2</v>
      </c>
      <c r="D513">
        <v>1</v>
      </c>
      <c r="E513">
        <v>5</v>
      </c>
      <c r="F513">
        <v>0</v>
      </c>
      <c r="G513">
        <v>0</v>
      </c>
      <c r="H513">
        <v>0</v>
      </c>
      <c r="I513">
        <v>1</v>
      </c>
      <c r="J513" t="s">
        <v>91</v>
      </c>
    </row>
    <row r="514" spans="1:10" x14ac:dyDescent="0.35">
      <c r="A514">
        <v>513</v>
      </c>
      <c r="B514" s="6">
        <v>43613</v>
      </c>
      <c r="C514">
        <v>2</v>
      </c>
      <c r="D514">
        <v>1</v>
      </c>
      <c r="E514">
        <v>5</v>
      </c>
      <c r="F514">
        <v>1</v>
      </c>
      <c r="G514">
        <v>1</v>
      </c>
      <c r="H514">
        <v>0</v>
      </c>
      <c r="I514">
        <v>1</v>
      </c>
      <c r="J514" s="7">
        <v>292125</v>
      </c>
    </row>
    <row r="515" spans="1:10" x14ac:dyDescent="0.35">
      <c r="A515">
        <v>514</v>
      </c>
      <c r="B515" s="6">
        <v>43614</v>
      </c>
      <c r="C515">
        <v>2</v>
      </c>
      <c r="D515">
        <v>1</v>
      </c>
      <c r="E515">
        <v>5</v>
      </c>
      <c r="F515">
        <v>0</v>
      </c>
      <c r="G515">
        <v>2</v>
      </c>
      <c r="H515">
        <v>1</v>
      </c>
      <c r="I515">
        <v>1</v>
      </c>
      <c r="J515" s="7">
        <v>296225</v>
      </c>
    </row>
    <row r="516" spans="1:10" x14ac:dyDescent="0.35">
      <c r="A516">
        <v>515</v>
      </c>
      <c r="B516" s="6">
        <v>43615</v>
      </c>
      <c r="C516">
        <v>2</v>
      </c>
      <c r="D516">
        <v>1</v>
      </c>
      <c r="E516">
        <v>5</v>
      </c>
      <c r="F516">
        <v>0</v>
      </c>
      <c r="G516">
        <v>3</v>
      </c>
      <c r="H516">
        <v>1</v>
      </c>
      <c r="I516">
        <v>2</v>
      </c>
      <c r="J516" s="7">
        <v>26923347</v>
      </c>
    </row>
    <row r="517" spans="1:10" x14ac:dyDescent="0.35">
      <c r="A517">
        <v>516</v>
      </c>
      <c r="B517" s="6">
        <v>43616</v>
      </c>
      <c r="C517">
        <v>2</v>
      </c>
      <c r="D517">
        <v>1</v>
      </c>
      <c r="E517">
        <v>5</v>
      </c>
      <c r="F517">
        <v>0</v>
      </c>
      <c r="G517">
        <v>4</v>
      </c>
      <c r="H517">
        <v>1</v>
      </c>
      <c r="I517">
        <v>1</v>
      </c>
      <c r="J517" t="s">
        <v>68</v>
      </c>
    </row>
    <row r="518" spans="1:10" x14ac:dyDescent="0.35">
      <c r="A518">
        <v>517</v>
      </c>
      <c r="B518" s="6">
        <v>43617</v>
      </c>
      <c r="C518">
        <v>2</v>
      </c>
      <c r="D518">
        <v>1</v>
      </c>
      <c r="E518">
        <v>6</v>
      </c>
      <c r="F518">
        <v>0</v>
      </c>
      <c r="G518">
        <v>5</v>
      </c>
      <c r="H518">
        <v>1</v>
      </c>
      <c r="I518">
        <v>2</v>
      </c>
      <c r="J518" s="7">
        <v>26820847</v>
      </c>
    </row>
    <row r="519" spans="1:10" x14ac:dyDescent="0.35">
      <c r="A519">
        <v>518</v>
      </c>
      <c r="B519" s="6">
        <v>43618</v>
      </c>
      <c r="C519">
        <v>2</v>
      </c>
      <c r="D519">
        <v>1</v>
      </c>
      <c r="E519">
        <v>6</v>
      </c>
      <c r="F519">
        <v>0</v>
      </c>
      <c r="G519">
        <v>6</v>
      </c>
      <c r="H519">
        <v>0</v>
      </c>
      <c r="I519">
        <v>1</v>
      </c>
      <c r="J519" s="7">
        <v>23916653</v>
      </c>
    </row>
    <row r="520" spans="1:10" x14ac:dyDescent="0.35">
      <c r="A520">
        <v>519</v>
      </c>
      <c r="B520" s="6">
        <v>43619</v>
      </c>
      <c r="C520">
        <v>2</v>
      </c>
      <c r="D520">
        <v>1</v>
      </c>
      <c r="E520">
        <v>6</v>
      </c>
      <c r="F520">
        <v>0</v>
      </c>
      <c r="G520">
        <v>0</v>
      </c>
      <c r="H520">
        <v>0</v>
      </c>
      <c r="I520">
        <v>1</v>
      </c>
      <c r="J520" s="7">
        <v>247025</v>
      </c>
    </row>
    <row r="521" spans="1:10" x14ac:dyDescent="0.35">
      <c r="A521">
        <v>520</v>
      </c>
      <c r="B521" s="6">
        <v>43620</v>
      </c>
      <c r="C521">
        <v>2</v>
      </c>
      <c r="D521">
        <v>1</v>
      </c>
      <c r="E521">
        <v>6</v>
      </c>
      <c r="F521">
        <v>0</v>
      </c>
      <c r="G521">
        <v>1</v>
      </c>
      <c r="H521">
        <v>1</v>
      </c>
      <c r="I521">
        <v>1</v>
      </c>
      <c r="J521" s="7">
        <v>244975</v>
      </c>
    </row>
    <row r="522" spans="1:10" x14ac:dyDescent="0.35">
      <c r="A522">
        <v>521</v>
      </c>
      <c r="B522" s="6">
        <v>43621</v>
      </c>
      <c r="C522">
        <v>2</v>
      </c>
      <c r="D522">
        <v>1</v>
      </c>
      <c r="E522">
        <v>6</v>
      </c>
      <c r="F522">
        <v>0</v>
      </c>
      <c r="G522">
        <v>2</v>
      </c>
      <c r="H522">
        <v>1</v>
      </c>
      <c r="I522">
        <v>2</v>
      </c>
      <c r="J522" s="7">
        <v>22174153</v>
      </c>
    </row>
    <row r="523" spans="1:10" x14ac:dyDescent="0.35">
      <c r="A523">
        <v>522</v>
      </c>
      <c r="B523" s="6">
        <v>43622</v>
      </c>
      <c r="C523">
        <v>2</v>
      </c>
      <c r="D523">
        <v>1</v>
      </c>
      <c r="E523">
        <v>6</v>
      </c>
      <c r="F523">
        <v>0</v>
      </c>
      <c r="G523">
        <v>3</v>
      </c>
      <c r="H523">
        <v>1</v>
      </c>
      <c r="I523">
        <v>1</v>
      </c>
      <c r="J523" s="7">
        <v>22720847</v>
      </c>
    </row>
    <row r="524" spans="1:10" x14ac:dyDescent="0.35">
      <c r="A524">
        <v>523</v>
      </c>
      <c r="B524" s="6">
        <v>43623</v>
      </c>
      <c r="C524">
        <v>2</v>
      </c>
      <c r="D524">
        <v>1</v>
      </c>
      <c r="E524">
        <v>6</v>
      </c>
      <c r="F524">
        <v>0</v>
      </c>
      <c r="G524">
        <v>4</v>
      </c>
      <c r="H524">
        <v>1</v>
      </c>
      <c r="I524">
        <v>1</v>
      </c>
      <c r="J524" s="7">
        <v>247025</v>
      </c>
    </row>
    <row r="525" spans="1:10" x14ac:dyDescent="0.35">
      <c r="A525">
        <v>524</v>
      </c>
      <c r="B525" s="6">
        <v>43624</v>
      </c>
      <c r="C525">
        <v>2</v>
      </c>
      <c r="D525">
        <v>1</v>
      </c>
      <c r="E525">
        <v>6</v>
      </c>
      <c r="F525">
        <v>0</v>
      </c>
      <c r="G525">
        <v>5</v>
      </c>
      <c r="H525">
        <v>1</v>
      </c>
      <c r="I525">
        <v>1</v>
      </c>
      <c r="J525" s="7">
        <v>26615847</v>
      </c>
    </row>
    <row r="526" spans="1:10" x14ac:dyDescent="0.35">
      <c r="A526">
        <v>525</v>
      </c>
      <c r="B526" s="6">
        <v>43625</v>
      </c>
      <c r="C526">
        <v>2</v>
      </c>
      <c r="D526">
        <v>1</v>
      </c>
      <c r="E526">
        <v>6</v>
      </c>
      <c r="F526">
        <v>0</v>
      </c>
      <c r="G526">
        <v>6</v>
      </c>
      <c r="H526">
        <v>0</v>
      </c>
      <c r="I526">
        <v>1</v>
      </c>
      <c r="J526" s="7">
        <v>29144153</v>
      </c>
    </row>
    <row r="527" spans="1:10" x14ac:dyDescent="0.35">
      <c r="A527">
        <v>526</v>
      </c>
      <c r="B527" s="6">
        <v>43626</v>
      </c>
      <c r="C527">
        <v>2</v>
      </c>
      <c r="D527">
        <v>1</v>
      </c>
      <c r="E527">
        <v>6</v>
      </c>
      <c r="F527">
        <v>0</v>
      </c>
      <c r="G527">
        <v>0</v>
      </c>
      <c r="H527">
        <v>0</v>
      </c>
      <c r="I527">
        <v>1</v>
      </c>
      <c r="J527" s="7">
        <v>29793347</v>
      </c>
    </row>
    <row r="528" spans="1:10" x14ac:dyDescent="0.35">
      <c r="A528">
        <v>527</v>
      </c>
      <c r="B528" s="6">
        <v>43627</v>
      </c>
      <c r="C528">
        <v>2</v>
      </c>
      <c r="D528">
        <v>1</v>
      </c>
      <c r="E528">
        <v>6</v>
      </c>
      <c r="F528">
        <v>0</v>
      </c>
      <c r="G528">
        <v>1</v>
      </c>
      <c r="H528">
        <v>1</v>
      </c>
      <c r="I528">
        <v>2</v>
      </c>
      <c r="J528" s="7">
        <v>29554153</v>
      </c>
    </row>
    <row r="529" spans="1:10" x14ac:dyDescent="0.35">
      <c r="A529">
        <v>528</v>
      </c>
      <c r="B529" s="6">
        <v>43628</v>
      </c>
      <c r="C529">
        <v>2</v>
      </c>
      <c r="D529">
        <v>1</v>
      </c>
      <c r="E529">
        <v>6</v>
      </c>
      <c r="F529">
        <v>0</v>
      </c>
      <c r="G529">
        <v>2</v>
      </c>
      <c r="H529">
        <v>1</v>
      </c>
      <c r="I529">
        <v>2</v>
      </c>
      <c r="J529" s="7">
        <v>26786653</v>
      </c>
    </row>
    <row r="530" spans="1:10" x14ac:dyDescent="0.35">
      <c r="A530">
        <v>529</v>
      </c>
      <c r="B530" s="6">
        <v>43629</v>
      </c>
      <c r="C530">
        <v>2</v>
      </c>
      <c r="D530">
        <v>1</v>
      </c>
      <c r="E530">
        <v>6</v>
      </c>
      <c r="F530">
        <v>0</v>
      </c>
      <c r="G530">
        <v>3</v>
      </c>
      <c r="H530">
        <v>1</v>
      </c>
      <c r="I530">
        <v>1</v>
      </c>
      <c r="J530" s="7">
        <v>26889153</v>
      </c>
    </row>
    <row r="531" spans="1:10" x14ac:dyDescent="0.35">
      <c r="A531">
        <v>530</v>
      </c>
      <c r="B531" s="6">
        <v>43630</v>
      </c>
      <c r="C531">
        <v>2</v>
      </c>
      <c r="D531">
        <v>1</v>
      </c>
      <c r="E531">
        <v>6</v>
      </c>
      <c r="F531">
        <v>0</v>
      </c>
      <c r="G531">
        <v>4</v>
      </c>
      <c r="H531">
        <v>1</v>
      </c>
      <c r="I531">
        <v>1</v>
      </c>
      <c r="J531" s="7">
        <v>26581653</v>
      </c>
    </row>
    <row r="532" spans="1:10" x14ac:dyDescent="0.35">
      <c r="A532">
        <v>531</v>
      </c>
      <c r="B532" s="6">
        <v>43631</v>
      </c>
      <c r="C532">
        <v>2</v>
      </c>
      <c r="D532">
        <v>1</v>
      </c>
      <c r="E532">
        <v>6</v>
      </c>
      <c r="F532">
        <v>0</v>
      </c>
      <c r="G532">
        <v>5</v>
      </c>
      <c r="H532">
        <v>1</v>
      </c>
      <c r="I532">
        <v>1</v>
      </c>
      <c r="J532" s="7">
        <v>26205847</v>
      </c>
    </row>
    <row r="533" spans="1:10" x14ac:dyDescent="0.35">
      <c r="A533">
        <v>532</v>
      </c>
      <c r="B533" s="6">
        <v>43632</v>
      </c>
      <c r="C533">
        <v>2</v>
      </c>
      <c r="D533">
        <v>1</v>
      </c>
      <c r="E533">
        <v>6</v>
      </c>
      <c r="F533">
        <v>0</v>
      </c>
      <c r="G533">
        <v>6</v>
      </c>
      <c r="H533">
        <v>0</v>
      </c>
      <c r="I533">
        <v>1</v>
      </c>
      <c r="J533" s="7">
        <v>25898347</v>
      </c>
    </row>
    <row r="534" spans="1:10" x14ac:dyDescent="0.35">
      <c r="A534">
        <v>533</v>
      </c>
      <c r="B534" s="6">
        <v>43633</v>
      </c>
      <c r="C534">
        <v>2</v>
      </c>
      <c r="D534">
        <v>1</v>
      </c>
      <c r="E534">
        <v>6</v>
      </c>
      <c r="F534">
        <v>0</v>
      </c>
      <c r="G534">
        <v>0</v>
      </c>
      <c r="H534">
        <v>0</v>
      </c>
      <c r="I534">
        <v>1</v>
      </c>
      <c r="J534" s="7">
        <v>242925</v>
      </c>
    </row>
    <row r="535" spans="1:10" x14ac:dyDescent="0.35">
      <c r="A535">
        <v>534</v>
      </c>
      <c r="B535" s="6">
        <v>43634</v>
      </c>
      <c r="C535">
        <v>2</v>
      </c>
      <c r="D535">
        <v>1</v>
      </c>
      <c r="E535">
        <v>6</v>
      </c>
      <c r="F535">
        <v>0</v>
      </c>
      <c r="G535">
        <v>1</v>
      </c>
      <c r="H535">
        <v>1</v>
      </c>
      <c r="I535">
        <v>2</v>
      </c>
      <c r="J535" s="7">
        <v>23301653</v>
      </c>
    </row>
    <row r="536" spans="1:10" x14ac:dyDescent="0.35">
      <c r="A536">
        <v>535</v>
      </c>
      <c r="B536" s="6">
        <v>43635</v>
      </c>
      <c r="C536">
        <v>2</v>
      </c>
      <c r="D536">
        <v>1</v>
      </c>
      <c r="E536">
        <v>6</v>
      </c>
      <c r="F536">
        <v>0</v>
      </c>
      <c r="G536">
        <v>2</v>
      </c>
      <c r="H536">
        <v>1</v>
      </c>
      <c r="I536">
        <v>1</v>
      </c>
      <c r="J536" s="7">
        <v>28221653</v>
      </c>
    </row>
    <row r="537" spans="1:10" x14ac:dyDescent="0.35">
      <c r="A537">
        <v>536</v>
      </c>
      <c r="B537" s="6">
        <v>43636</v>
      </c>
      <c r="C537">
        <v>2</v>
      </c>
      <c r="D537">
        <v>1</v>
      </c>
      <c r="E537">
        <v>6</v>
      </c>
      <c r="F537">
        <v>0</v>
      </c>
      <c r="G537">
        <v>3</v>
      </c>
      <c r="H537">
        <v>1</v>
      </c>
      <c r="I537">
        <v>1</v>
      </c>
      <c r="J537" s="7">
        <v>320825</v>
      </c>
    </row>
    <row r="538" spans="1:10" x14ac:dyDescent="0.35">
      <c r="A538">
        <v>537</v>
      </c>
      <c r="B538" s="6">
        <v>43637</v>
      </c>
      <c r="C538">
        <v>3</v>
      </c>
      <c r="D538">
        <v>1</v>
      </c>
      <c r="E538">
        <v>6</v>
      </c>
      <c r="F538">
        <v>0</v>
      </c>
      <c r="G538">
        <v>4</v>
      </c>
      <c r="H538">
        <v>1</v>
      </c>
      <c r="I538">
        <v>1</v>
      </c>
      <c r="J538" s="7">
        <v>33039153</v>
      </c>
    </row>
    <row r="539" spans="1:10" x14ac:dyDescent="0.35">
      <c r="A539">
        <v>538</v>
      </c>
      <c r="B539" s="6">
        <v>43638</v>
      </c>
      <c r="C539">
        <v>3</v>
      </c>
      <c r="D539">
        <v>1</v>
      </c>
      <c r="E539">
        <v>6</v>
      </c>
      <c r="F539">
        <v>0</v>
      </c>
      <c r="G539">
        <v>5</v>
      </c>
      <c r="H539">
        <v>1</v>
      </c>
      <c r="I539">
        <v>1</v>
      </c>
      <c r="J539" s="7">
        <v>318775</v>
      </c>
    </row>
    <row r="540" spans="1:10" x14ac:dyDescent="0.35">
      <c r="A540">
        <v>539</v>
      </c>
      <c r="B540" s="6">
        <v>43639</v>
      </c>
      <c r="C540">
        <v>3</v>
      </c>
      <c r="D540">
        <v>1</v>
      </c>
      <c r="E540">
        <v>6</v>
      </c>
      <c r="F540">
        <v>0</v>
      </c>
      <c r="G540">
        <v>6</v>
      </c>
      <c r="H540">
        <v>0</v>
      </c>
      <c r="I540">
        <v>1</v>
      </c>
      <c r="J540" s="7">
        <v>29998347</v>
      </c>
    </row>
    <row r="541" spans="1:10" x14ac:dyDescent="0.35">
      <c r="A541">
        <v>540</v>
      </c>
      <c r="B541" s="6">
        <v>43640</v>
      </c>
      <c r="C541">
        <v>3</v>
      </c>
      <c r="D541">
        <v>1</v>
      </c>
      <c r="E541">
        <v>6</v>
      </c>
      <c r="F541">
        <v>0</v>
      </c>
      <c r="G541">
        <v>0</v>
      </c>
      <c r="H541">
        <v>0</v>
      </c>
      <c r="I541">
        <v>1</v>
      </c>
      <c r="J541" s="7">
        <v>30476653</v>
      </c>
    </row>
    <row r="542" spans="1:10" x14ac:dyDescent="0.35">
      <c r="A542">
        <v>541</v>
      </c>
      <c r="B542" s="6">
        <v>43641</v>
      </c>
      <c r="C542">
        <v>3</v>
      </c>
      <c r="D542">
        <v>1</v>
      </c>
      <c r="E542">
        <v>6</v>
      </c>
      <c r="F542">
        <v>0</v>
      </c>
      <c r="G542">
        <v>1</v>
      </c>
      <c r="H542">
        <v>1</v>
      </c>
      <c r="I542">
        <v>1</v>
      </c>
      <c r="J542" s="7">
        <v>29349153</v>
      </c>
    </row>
    <row r="543" spans="1:10" x14ac:dyDescent="0.35">
      <c r="A543">
        <v>542</v>
      </c>
      <c r="B543" s="6">
        <v>43642</v>
      </c>
      <c r="C543">
        <v>3</v>
      </c>
      <c r="D543">
        <v>1</v>
      </c>
      <c r="E543">
        <v>6</v>
      </c>
      <c r="F543">
        <v>0</v>
      </c>
      <c r="G543">
        <v>2</v>
      </c>
      <c r="H543">
        <v>1</v>
      </c>
      <c r="I543">
        <v>1</v>
      </c>
      <c r="J543" s="7">
        <v>25864153</v>
      </c>
    </row>
    <row r="544" spans="1:10" x14ac:dyDescent="0.35">
      <c r="A544">
        <v>543</v>
      </c>
      <c r="B544" s="6">
        <v>43643</v>
      </c>
      <c r="C544">
        <v>3</v>
      </c>
      <c r="D544">
        <v>1</v>
      </c>
      <c r="E544">
        <v>6</v>
      </c>
      <c r="F544">
        <v>0</v>
      </c>
      <c r="G544">
        <v>3</v>
      </c>
      <c r="H544">
        <v>1</v>
      </c>
      <c r="I544">
        <v>1</v>
      </c>
      <c r="J544" s="7">
        <v>285975</v>
      </c>
    </row>
    <row r="545" spans="1:10" x14ac:dyDescent="0.35">
      <c r="A545">
        <v>544</v>
      </c>
      <c r="B545" s="6">
        <v>43644</v>
      </c>
      <c r="C545">
        <v>3</v>
      </c>
      <c r="D545">
        <v>1</v>
      </c>
      <c r="E545">
        <v>6</v>
      </c>
      <c r="F545">
        <v>0</v>
      </c>
      <c r="G545">
        <v>4</v>
      </c>
      <c r="H545">
        <v>1</v>
      </c>
      <c r="I545">
        <v>1</v>
      </c>
      <c r="J545" s="7">
        <v>30715847</v>
      </c>
    </row>
    <row r="546" spans="1:10" x14ac:dyDescent="0.35">
      <c r="A546">
        <v>545</v>
      </c>
      <c r="B546" s="6">
        <v>43645</v>
      </c>
      <c r="C546">
        <v>3</v>
      </c>
      <c r="D546">
        <v>1</v>
      </c>
      <c r="E546">
        <v>6</v>
      </c>
      <c r="F546">
        <v>0</v>
      </c>
      <c r="G546">
        <v>5</v>
      </c>
      <c r="H546">
        <v>1</v>
      </c>
      <c r="I546">
        <v>1</v>
      </c>
      <c r="J546" s="7">
        <v>34200847</v>
      </c>
    </row>
    <row r="547" spans="1:10" x14ac:dyDescent="0.35">
      <c r="A547">
        <v>546</v>
      </c>
      <c r="B547" s="6">
        <v>43646</v>
      </c>
      <c r="C547">
        <v>3</v>
      </c>
      <c r="D547">
        <v>1</v>
      </c>
      <c r="E547">
        <v>6</v>
      </c>
      <c r="F547">
        <v>0</v>
      </c>
      <c r="G547">
        <v>6</v>
      </c>
      <c r="H547">
        <v>0</v>
      </c>
      <c r="I547">
        <v>1</v>
      </c>
      <c r="J547" s="7">
        <v>31365</v>
      </c>
    </row>
    <row r="548" spans="1:10" x14ac:dyDescent="0.35">
      <c r="A548">
        <v>547</v>
      </c>
      <c r="B548" s="6">
        <v>43647</v>
      </c>
      <c r="C548">
        <v>3</v>
      </c>
      <c r="D548">
        <v>1</v>
      </c>
      <c r="E548">
        <v>7</v>
      </c>
      <c r="F548">
        <v>0</v>
      </c>
      <c r="G548">
        <v>0</v>
      </c>
      <c r="H548">
        <v>0</v>
      </c>
      <c r="I548">
        <v>1</v>
      </c>
      <c r="J548" s="7">
        <v>33449153</v>
      </c>
    </row>
    <row r="549" spans="1:10" x14ac:dyDescent="0.35">
      <c r="A549">
        <v>548</v>
      </c>
      <c r="B549" s="6">
        <v>43648</v>
      </c>
      <c r="C549">
        <v>3</v>
      </c>
      <c r="D549">
        <v>1</v>
      </c>
      <c r="E549">
        <v>7</v>
      </c>
      <c r="F549">
        <v>0</v>
      </c>
      <c r="G549">
        <v>1</v>
      </c>
      <c r="H549">
        <v>1</v>
      </c>
      <c r="I549">
        <v>1</v>
      </c>
      <c r="J549" s="7">
        <v>32048347</v>
      </c>
    </row>
    <row r="550" spans="1:10" x14ac:dyDescent="0.35">
      <c r="A550">
        <v>549</v>
      </c>
      <c r="B550" s="6">
        <v>43649</v>
      </c>
      <c r="C550">
        <v>3</v>
      </c>
      <c r="D550">
        <v>1</v>
      </c>
      <c r="E550">
        <v>7</v>
      </c>
      <c r="F550">
        <v>0</v>
      </c>
      <c r="G550">
        <v>2</v>
      </c>
      <c r="H550">
        <v>1</v>
      </c>
      <c r="I550">
        <v>1</v>
      </c>
      <c r="J550" s="7">
        <v>32014153</v>
      </c>
    </row>
    <row r="551" spans="1:10" x14ac:dyDescent="0.35">
      <c r="A551">
        <v>550</v>
      </c>
      <c r="B551" s="6">
        <v>43650</v>
      </c>
      <c r="C551">
        <v>3</v>
      </c>
      <c r="D551">
        <v>1</v>
      </c>
      <c r="E551">
        <v>7</v>
      </c>
      <c r="F551">
        <v>1</v>
      </c>
      <c r="G551">
        <v>3</v>
      </c>
      <c r="H551">
        <v>0</v>
      </c>
      <c r="I551">
        <v>1</v>
      </c>
      <c r="J551" s="7">
        <v>32355847</v>
      </c>
    </row>
    <row r="552" spans="1:10" x14ac:dyDescent="0.35">
      <c r="A552">
        <v>551</v>
      </c>
      <c r="B552" s="6">
        <v>43651</v>
      </c>
      <c r="C552">
        <v>3</v>
      </c>
      <c r="D552">
        <v>1</v>
      </c>
      <c r="E552">
        <v>7</v>
      </c>
      <c r="F552">
        <v>0</v>
      </c>
      <c r="G552">
        <v>4</v>
      </c>
      <c r="H552">
        <v>1</v>
      </c>
      <c r="I552">
        <v>1</v>
      </c>
      <c r="J552" s="7">
        <v>339275</v>
      </c>
    </row>
    <row r="553" spans="1:10" x14ac:dyDescent="0.35">
      <c r="A553">
        <v>552</v>
      </c>
      <c r="B553" s="6">
        <v>43652</v>
      </c>
      <c r="C553">
        <v>3</v>
      </c>
      <c r="D553">
        <v>1</v>
      </c>
      <c r="E553">
        <v>7</v>
      </c>
      <c r="F553">
        <v>0</v>
      </c>
      <c r="G553">
        <v>5</v>
      </c>
      <c r="H553">
        <v>1</v>
      </c>
      <c r="I553">
        <v>1</v>
      </c>
      <c r="J553" s="7">
        <v>33961653</v>
      </c>
    </row>
    <row r="554" spans="1:10" x14ac:dyDescent="0.35">
      <c r="A554">
        <v>553</v>
      </c>
      <c r="B554" s="6">
        <v>43653</v>
      </c>
      <c r="C554">
        <v>3</v>
      </c>
      <c r="D554">
        <v>1</v>
      </c>
      <c r="E554">
        <v>7</v>
      </c>
      <c r="F554">
        <v>0</v>
      </c>
      <c r="G554">
        <v>6</v>
      </c>
      <c r="H554">
        <v>0</v>
      </c>
      <c r="I554">
        <v>1</v>
      </c>
      <c r="J554" s="7">
        <v>35328347</v>
      </c>
    </row>
    <row r="555" spans="1:10" x14ac:dyDescent="0.35">
      <c r="A555">
        <v>554</v>
      </c>
      <c r="B555" s="6">
        <v>43654</v>
      </c>
      <c r="C555">
        <v>3</v>
      </c>
      <c r="D555">
        <v>1</v>
      </c>
      <c r="E555">
        <v>7</v>
      </c>
      <c r="F555">
        <v>0</v>
      </c>
      <c r="G555">
        <v>0</v>
      </c>
      <c r="H555">
        <v>0</v>
      </c>
      <c r="I555">
        <v>1</v>
      </c>
      <c r="J555" s="7">
        <v>337225</v>
      </c>
    </row>
    <row r="556" spans="1:10" x14ac:dyDescent="0.35">
      <c r="A556">
        <v>555</v>
      </c>
      <c r="B556" s="6">
        <v>43655</v>
      </c>
      <c r="C556">
        <v>3</v>
      </c>
      <c r="D556">
        <v>1</v>
      </c>
      <c r="E556">
        <v>7</v>
      </c>
      <c r="F556">
        <v>0</v>
      </c>
      <c r="G556">
        <v>1</v>
      </c>
      <c r="H556">
        <v>1</v>
      </c>
      <c r="I556">
        <v>2</v>
      </c>
      <c r="J556" s="7">
        <v>29144153</v>
      </c>
    </row>
    <row r="557" spans="1:10" x14ac:dyDescent="0.35">
      <c r="A557">
        <v>556</v>
      </c>
      <c r="B557" s="6">
        <v>43656</v>
      </c>
      <c r="C557">
        <v>3</v>
      </c>
      <c r="D557">
        <v>1</v>
      </c>
      <c r="E557">
        <v>7</v>
      </c>
      <c r="F557">
        <v>0</v>
      </c>
      <c r="G557">
        <v>2</v>
      </c>
      <c r="H557">
        <v>1</v>
      </c>
      <c r="I557">
        <v>2</v>
      </c>
      <c r="J557" s="7">
        <v>29554153</v>
      </c>
    </row>
    <row r="558" spans="1:10" x14ac:dyDescent="0.35">
      <c r="A558">
        <v>557</v>
      </c>
      <c r="B558" s="6">
        <v>43657</v>
      </c>
      <c r="C558">
        <v>3</v>
      </c>
      <c r="D558">
        <v>1</v>
      </c>
      <c r="E558">
        <v>7</v>
      </c>
      <c r="F558">
        <v>0</v>
      </c>
      <c r="G558">
        <v>3</v>
      </c>
      <c r="H558">
        <v>1</v>
      </c>
      <c r="I558">
        <v>1</v>
      </c>
      <c r="J558" s="7">
        <v>29383347</v>
      </c>
    </row>
    <row r="559" spans="1:10" x14ac:dyDescent="0.35">
      <c r="A559">
        <v>558</v>
      </c>
      <c r="B559" s="6">
        <v>43658</v>
      </c>
      <c r="C559">
        <v>3</v>
      </c>
      <c r="D559">
        <v>1</v>
      </c>
      <c r="E559">
        <v>7</v>
      </c>
      <c r="F559">
        <v>0</v>
      </c>
      <c r="G559">
        <v>4</v>
      </c>
      <c r="H559">
        <v>1</v>
      </c>
      <c r="I559">
        <v>1</v>
      </c>
      <c r="J559" s="7">
        <v>29349153</v>
      </c>
    </row>
    <row r="560" spans="1:10" x14ac:dyDescent="0.35">
      <c r="A560">
        <v>559</v>
      </c>
      <c r="B560" s="6">
        <v>43659</v>
      </c>
      <c r="C560">
        <v>3</v>
      </c>
      <c r="D560">
        <v>1</v>
      </c>
      <c r="E560">
        <v>7</v>
      </c>
      <c r="F560">
        <v>0</v>
      </c>
      <c r="G560">
        <v>5</v>
      </c>
      <c r="H560">
        <v>1</v>
      </c>
      <c r="I560">
        <v>2</v>
      </c>
      <c r="J560" s="7">
        <v>29998347</v>
      </c>
    </row>
    <row r="561" spans="1:10" x14ac:dyDescent="0.35">
      <c r="A561">
        <v>560</v>
      </c>
      <c r="B561" s="6">
        <v>43660</v>
      </c>
      <c r="C561">
        <v>3</v>
      </c>
      <c r="D561">
        <v>1</v>
      </c>
      <c r="E561">
        <v>7</v>
      </c>
      <c r="F561">
        <v>0</v>
      </c>
      <c r="G561">
        <v>6</v>
      </c>
      <c r="H561">
        <v>0</v>
      </c>
      <c r="I561">
        <v>2</v>
      </c>
      <c r="J561" s="7">
        <v>28836653</v>
      </c>
    </row>
    <row r="562" spans="1:10" x14ac:dyDescent="0.35">
      <c r="A562">
        <v>561</v>
      </c>
      <c r="B562" s="6">
        <v>43661</v>
      </c>
      <c r="C562">
        <v>3</v>
      </c>
      <c r="D562">
        <v>1</v>
      </c>
      <c r="E562">
        <v>7</v>
      </c>
      <c r="F562">
        <v>0</v>
      </c>
      <c r="G562">
        <v>0</v>
      </c>
      <c r="H562">
        <v>0</v>
      </c>
      <c r="I562">
        <v>1</v>
      </c>
      <c r="J562" s="7">
        <v>30579153</v>
      </c>
    </row>
    <row r="563" spans="1:10" x14ac:dyDescent="0.35">
      <c r="A563">
        <v>562</v>
      </c>
      <c r="B563" s="6">
        <v>43662</v>
      </c>
      <c r="C563">
        <v>3</v>
      </c>
      <c r="D563">
        <v>1</v>
      </c>
      <c r="E563">
        <v>7</v>
      </c>
      <c r="F563">
        <v>0</v>
      </c>
      <c r="G563">
        <v>1</v>
      </c>
      <c r="H563">
        <v>1</v>
      </c>
      <c r="I563">
        <v>1</v>
      </c>
      <c r="J563" s="7">
        <v>31296653</v>
      </c>
    </row>
    <row r="564" spans="1:10" x14ac:dyDescent="0.35">
      <c r="A564">
        <v>563</v>
      </c>
      <c r="B564" s="6">
        <v>43663</v>
      </c>
      <c r="C564">
        <v>3</v>
      </c>
      <c r="D564">
        <v>1</v>
      </c>
      <c r="E564">
        <v>7</v>
      </c>
      <c r="F564">
        <v>0</v>
      </c>
      <c r="G564">
        <v>2</v>
      </c>
      <c r="H564">
        <v>1</v>
      </c>
      <c r="I564">
        <v>1</v>
      </c>
      <c r="J564" s="7">
        <v>33551653</v>
      </c>
    </row>
    <row r="565" spans="1:10" x14ac:dyDescent="0.35">
      <c r="A565">
        <v>564</v>
      </c>
      <c r="B565" s="6">
        <v>43664</v>
      </c>
      <c r="C565">
        <v>3</v>
      </c>
      <c r="D565">
        <v>1</v>
      </c>
      <c r="E565">
        <v>7</v>
      </c>
      <c r="F565">
        <v>0</v>
      </c>
      <c r="G565">
        <v>3</v>
      </c>
      <c r="H565">
        <v>1</v>
      </c>
      <c r="I565">
        <v>1</v>
      </c>
      <c r="J565" s="7">
        <v>32526653</v>
      </c>
    </row>
    <row r="566" spans="1:10" x14ac:dyDescent="0.35">
      <c r="A566">
        <v>565</v>
      </c>
      <c r="B566" s="6">
        <v>43665</v>
      </c>
      <c r="C566">
        <v>3</v>
      </c>
      <c r="D566">
        <v>1</v>
      </c>
      <c r="E566">
        <v>7</v>
      </c>
      <c r="F566">
        <v>0</v>
      </c>
      <c r="G566">
        <v>4</v>
      </c>
      <c r="H566">
        <v>1</v>
      </c>
      <c r="I566">
        <v>1</v>
      </c>
      <c r="J566" t="s">
        <v>92</v>
      </c>
    </row>
    <row r="567" spans="1:10" x14ac:dyDescent="0.35">
      <c r="A567">
        <v>566</v>
      </c>
      <c r="B567" s="6">
        <v>43666</v>
      </c>
      <c r="C567">
        <v>3</v>
      </c>
      <c r="D567">
        <v>1</v>
      </c>
      <c r="E567">
        <v>7</v>
      </c>
      <c r="F567">
        <v>0</v>
      </c>
      <c r="G567">
        <v>5</v>
      </c>
      <c r="H567">
        <v>1</v>
      </c>
      <c r="I567">
        <v>2</v>
      </c>
      <c r="J567" s="7">
        <v>27299153</v>
      </c>
    </row>
    <row r="568" spans="1:10" x14ac:dyDescent="0.35">
      <c r="A568">
        <v>567</v>
      </c>
      <c r="B568" s="6">
        <v>43667</v>
      </c>
      <c r="C568">
        <v>3</v>
      </c>
      <c r="D568">
        <v>1</v>
      </c>
      <c r="E568">
        <v>7</v>
      </c>
      <c r="F568">
        <v>0</v>
      </c>
      <c r="G568">
        <v>6</v>
      </c>
      <c r="H568">
        <v>0</v>
      </c>
      <c r="I568">
        <v>3</v>
      </c>
      <c r="J568" s="7">
        <v>24429153</v>
      </c>
    </row>
    <row r="569" spans="1:10" x14ac:dyDescent="0.35">
      <c r="A569">
        <v>568</v>
      </c>
      <c r="B569" s="6">
        <v>43668</v>
      </c>
      <c r="C569">
        <v>3</v>
      </c>
      <c r="D569">
        <v>1</v>
      </c>
      <c r="E569">
        <v>7</v>
      </c>
      <c r="F569">
        <v>0</v>
      </c>
      <c r="G569">
        <v>0</v>
      </c>
      <c r="H569">
        <v>0</v>
      </c>
      <c r="I569">
        <v>2</v>
      </c>
      <c r="J569" s="7">
        <v>273675</v>
      </c>
    </row>
    <row r="570" spans="1:10" x14ac:dyDescent="0.35">
      <c r="A570">
        <v>569</v>
      </c>
      <c r="B570" s="6">
        <v>43669</v>
      </c>
      <c r="C570">
        <v>3</v>
      </c>
      <c r="D570">
        <v>1</v>
      </c>
      <c r="E570">
        <v>7</v>
      </c>
      <c r="F570">
        <v>0</v>
      </c>
      <c r="G570">
        <v>1</v>
      </c>
      <c r="H570">
        <v>1</v>
      </c>
      <c r="I570">
        <v>1</v>
      </c>
      <c r="J570" s="7">
        <v>30408347</v>
      </c>
    </row>
    <row r="571" spans="1:10" x14ac:dyDescent="0.35">
      <c r="A571">
        <v>570</v>
      </c>
      <c r="B571" s="6">
        <v>43670</v>
      </c>
      <c r="C571">
        <v>3</v>
      </c>
      <c r="D571">
        <v>1</v>
      </c>
      <c r="E571">
        <v>7</v>
      </c>
      <c r="F571">
        <v>0</v>
      </c>
      <c r="G571">
        <v>2</v>
      </c>
      <c r="H571">
        <v>1</v>
      </c>
      <c r="I571">
        <v>1</v>
      </c>
      <c r="J571" s="7">
        <v>30784153</v>
      </c>
    </row>
    <row r="572" spans="1:10" x14ac:dyDescent="0.35">
      <c r="A572">
        <v>571</v>
      </c>
      <c r="B572" s="6">
        <v>43671</v>
      </c>
      <c r="C572">
        <v>3</v>
      </c>
      <c r="D572">
        <v>1</v>
      </c>
      <c r="E572">
        <v>7</v>
      </c>
      <c r="F572">
        <v>0</v>
      </c>
      <c r="G572">
        <v>3</v>
      </c>
      <c r="H572">
        <v>1</v>
      </c>
      <c r="I572">
        <v>1</v>
      </c>
      <c r="J572" s="7">
        <v>29690847</v>
      </c>
    </row>
    <row r="573" spans="1:10" x14ac:dyDescent="0.35">
      <c r="A573">
        <v>572</v>
      </c>
      <c r="B573" s="6">
        <v>43672</v>
      </c>
      <c r="C573">
        <v>3</v>
      </c>
      <c r="D573">
        <v>1</v>
      </c>
      <c r="E573">
        <v>7</v>
      </c>
      <c r="F573">
        <v>0</v>
      </c>
      <c r="G573">
        <v>4</v>
      </c>
      <c r="H573">
        <v>1</v>
      </c>
      <c r="I573">
        <v>1</v>
      </c>
      <c r="J573" s="7">
        <v>31843347</v>
      </c>
    </row>
    <row r="574" spans="1:10" x14ac:dyDescent="0.35">
      <c r="A574">
        <v>573</v>
      </c>
      <c r="B574" s="6">
        <v>43673</v>
      </c>
      <c r="C574">
        <v>3</v>
      </c>
      <c r="D574">
        <v>1</v>
      </c>
      <c r="E574">
        <v>7</v>
      </c>
      <c r="F574">
        <v>0</v>
      </c>
      <c r="G574">
        <v>5</v>
      </c>
      <c r="H574">
        <v>1</v>
      </c>
      <c r="I574">
        <v>1</v>
      </c>
      <c r="J574" s="7">
        <v>32048347</v>
      </c>
    </row>
    <row r="575" spans="1:10" x14ac:dyDescent="0.35">
      <c r="A575">
        <v>574</v>
      </c>
      <c r="B575" s="6">
        <v>43674</v>
      </c>
      <c r="C575">
        <v>3</v>
      </c>
      <c r="D575">
        <v>1</v>
      </c>
      <c r="E575">
        <v>7</v>
      </c>
      <c r="F575">
        <v>0</v>
      </c>
      <c r="G575">
        <v>6</v>
      </c>
      <c r="H575">
        <v>0</v>
      </c>
      <c r="I575">
        <v>1</v>
      </c>
      <c r="J575" s="7">
        <v>30989153</v>
      </c>
    </row>
    <row r="576" spans="1:10" x14ac:dyDescent="0.35">
      <c r="A576">
        <v>575</v>
      </c>
      <c r="B576" s="6">
        <v>43675</v>
      </c>
      <c r="C576">
        <v>3</v>
      </c>
      <c r="D576">
        <v>1</v>
      </c>
      <c r="E576">
        <v>7</v>
      </c>
      <c r="F576">
        <v>0</v>
      </c>
      <c r="G576">
        <v>0</v>
      </c>
      <c r="H576">
        <v>0</v>
      </c>
      <c r="I576">
        <v>1</v>
      </c>
      <c r="J576" s="7">
        <v>29588347</v>
      </c>
    </row>
    <row r="577" spans="1:10" x14ac:dyDescent="0.35">
      <c r="A577">
        <v>576</v>
      </c>
      <c r="B577" s="6">
        <v>43676</v>
      </c>
      <c r="C577">
        <v>3</v>
      </c>
      <c r="D577">
        <v>1</v>
      </c>
      <c r="E577">
        <v>7</v>
      </c>
      <c r="F577">
        <v>0</v>
      </c>
      <c r="G577">
        <v>1</v>
      </c>
      <c r="H577">
        <v>1</v>
      </c>
      <c r="I577">
        <v>1</v>
      </c>
      <c r="J577" s="7">
        <v>29964153</v>
      </c>
    </row>
    <row r="578" spans="1:10" x14ac:dyDescent="0.35">
      <c r="A578">
        <v>577</v>
      </c>
      <c r="B578" s="6">
        <v>43677</v>
      </c>
      <c r="C578">
        <v>3</v>
      </c>
      <c r="D578">
        <v>1</v>
      </c>
      <c r="E578">
        <v>7</v>
      </c>
      <c r="F578">
        <v>0</v>
      </c>
      <c r="G578">
        <v>2</v>
      </c>
      <c r="H578">
        <v>1</v>
      </c>
      <c r="I578">
        <v>1</v>
      </c>
      <c r="J578" s="7">
        <v>29246653</v>
      </c>
    </row>
    <row r="579" spans="1:10" x14ac:dyDescent="0.35">
      <c r="A579">
        <v>578</v>
      </c>
      <c r="B579" s="6">
        <v>43678</v>
      </c>
      <c r="C579">
        <v>3</v>
      </c>
      <c r="D579">
        <v>1</v>
      </c>
      <c r="E579">
        <v>8</v>
      </c>
      <c r="F579">
        <v>0</v>
      </c>
      <c r="G579">
        <v>3</v>
      </c>
      <c r="H579">
        <v>1</v>
      </c>
      <c r="I579">
        <v>1</v>
      </c>
      <c r="J579" s="7">
        <v>294175</v>
      </c>
    </row>
    <row r="580" spans="1:10" x14ac:dyDescent="0.35">
      <c r="A580">
        <v>579</v>
      </c>
      <c r="B580" s="6">
        <v>43679</v>
      </c>
      <c r="C580">
        <v>3</v>
      </c>
      <c r="D580">
        <v>1</v>
      </c>
      <c r="E580">
        <v>8</v>
      </c>
      <c r="F580">
        <v>0</v>
      </c>
      <c r="G580">
        <v>4</v>
      </c>
      <c r="H580">
        <v>1</v>
      </c>
      <c r="I580">
        <v>1</v>
      </c>
      <c r="J580" s="7">
        <v>308525</v>
      </c>
    </row>
    <row r="581" spans="1:10" x14ac:dyDescent="0.35">
      <c r="A581">
        <v>580</v>
      </c>
      <c r="B581" s="6">
        <v>43680</v>
      </c>
      <c r="C581">
        <v>3</v>
      </c>
      <c r="D581">
        <v>1</v>
      </c>
      <c r="E581">
        <v>8</v>
      </c>
      <c r="F581">
        <v>0</v>
      </c>
      <c r="G581">
        <v>5</v>
      </c>
      <c r="H581">
        <v>1</v>
      </c>
      <c r="I581">
        <v>2</v>
      </c>
      <c r="J581" s="7">
        <v>31399153</v>
      </c>
    </row>
    <row r="582" spans="1:10" x14ac:dyDescent="0.35">
      <c r="A582">
        <v>581</v>
      </c>
      <c r="B582" s="6">
        <v>43681</v>
      </c>
      <c r="C582">
        <v>3</v>
      </c>
      <c r="D582">
        <v>1</v>
      </c>
      <c r="E582">
        <v>8</v>
      </c>
      <c r="F582">
        <v>0</v>
      </c>
      <c r="G582">
        <v>6</v>
      </c>
      <c r="H582">
        <v>0</v>
      </c>
      <c r="I582">
        <v>1</v>
      </c>
      <c r="J582" s="7">
        <v>32526653</v>
      </c>
    </row>
    <row r="583" spans="1:10" x14ac:dyDescent="0.35">
      <c r="A583">
        <v>582</v>
      </c>
      <c r="B583" s="6">
        <v>43682</v>
      </c>
      <c r="C583">
        <v>3</v>
      </c>
      <c r="D583">
        <v>1</v>
      </c>
      <c r="E583">
        <v>8</v>
      </c>
      <c r="F583">
        <v>0</v>
      </c>
      <c r="G583">
        <v>0</v>
      </c>
      <c r="H583">
        <v>0</v>
      </c>
      <c r="I583">
        <v>1</v>
      </c>
      <c r="J583" s="7">
        <v>31535847</v>
      </c>
    </row>
    <row r="584" spans="1:10" x14ac:dyDescent="0.35">
      <c r="A584">
        <v>583</v>
      </c>
      <c r="B584" s="6">
        <v>43683</v>
      </c>
      <c r="C584">
        <v>3</v>
      </c>
      <c r="D584">
        <v>1</v>
      </c>
      <c r="E584">
        <v>8</v>
      </c>
      <c r="F584">
        <v>0</v>
      </c>
      <c r="G584">
        <v>1</v>
      </c>
      <c r="H584">
        <v>1</v>
      </c>
      <c r="I584">
        <v>2</v>
      </c>
      <c r="J584" s="7">
        <v>308525</v>
      </c>
    </row>
    <row r="585" spans="1:10" x14ac:dyDescent="0.35">
      <c r="A585">
        <v>584</v>
      </c>
      <c r="B585" s="6">
        <v>43684</v>
      </c>
      <c r="C585">
        <v>3</v>
      </c>
      <c r="D585">
        <v>1</v>
      </c>
      <c r="E585">
        <v>8</v>
      </c>
      <c r="F585">
        <v>0</v>
      </c>
      <c r="G585">
        <v>2</v>
      </c>
      <c r="H585">
        <v>1</v>
      </c>
      <c r="I585">
        <v>2</v>
      </c>
      <c r="J585" s="7">
        <v>30169153</v>
      </c>
    </row>
    <row r="586" spans="1:10" x14ac:dyDescent="0.35">
      <c r="A586">
        <v>585</v>
      </c>
      <c r="B586" s="6">
        <v>43685</v>
      </c>
      <c r="C586">
        <v>3</v>
      </c>
      <c r="D586">
        <v>1</v>
      </c>
      <c r="E586">
        <v>8</v>
      </c>
      <c r="F586">
        <v>0</v>
      </c>
      <c r="G586">
        <v>3</v>
      </c>
      <c r="H586">
        <v>1</v>
      </c>
      <c r="I586">
        <v>2</v>
      </c>
      <c r="J586" t="s">
        <v>70</v>
      </c>
    </row>
    <row r="587" spans="1:10" x14ac:dyDescent="0.35">
      <c r="A587">
        <v>586</v>
      </c>
      <c r="B587" s="6">
        <v>43686</v>
      </c>
      <c r="C587">
        <v>3</v>
      </c>
      <c r="D587">
        <v>1</v>
      </c>
      <c r="E587">
        <v>8</v>
      </c>
      <c r="F587">
        <v>0</v>
      </c>
      <c r="G587">
        <v>4</v>
      </c>
      <c r="H587">
        <v>1</v>
      </c>
      <c r="I587">
        <v>1</v>
      </c>
      <c r="J587" s="7">
        <v>30989153</v>
      </c>
    </row>
    <row r="588" spans="1:10" x14ac:dyDescent="0.35">
      <c r="A588">
        <v>587</v>
      </c>
      <c r="B588" s="6">
        <v>43687</v>
      </c>
      <c r="C588">
        <v>3</v>
      </c>
      <c r="D588">
        <v>1</v>
      </c>
      <c r="E588">
        <v>8</v>
      </c>
      <c r="F588">
        <v>0</v>
      </c>
      <c r="G588">
        <v>5</v>
      </c>
      <c r="H588">
        <v>1</v>
      </c>
      <c r="I588">
        <v>2</v>
      </c>
      <c r="J588" s="7">
        <v>29349153</v>
      </c>
    </row>
    <row r="589" spans="1:10" x14ac:dyDescent="0.35">
      <c r="A589">
        <v>588</v>
      </c>
      <c r="B589" s="6">
        <v>43688</v>
      </c>
      <c r="C589">
        <v>3</v>
      </c>
      <c r="D589">
        <v>1</v>
      </c>
      <c r="E589">
        <v>8</v>
      </c>
      <c r="F589">
        <v>0</v>
      </c>
      <c r="G589">
        <v>6</v>
      </c>
      <c r="H589">
        <v>0</v>
      </c>
      <c r="I589">
        <v>2</v>
      </c>
      <c r="J589" s="7">
        <v>283925</v>
      </c>
    </row>
    <row r="590" spans="1:10" x14ac:dyDescent="0.35">
      <c r="A590">
        <v>589</v>
      </c>
      <c r="B590" s="6">
        <v>43689</v>
      </c>
      <c r="C590">
        <v>3</v>
      </c>
      <c r="D590">
        <v>1</v>
      </c>
      <c r="E590">
        <v>8</v>
      </c>
      <c r="F590">
        <v>0</v>
      </c>
      <c r="G590">
        <v>0</v>
      </c>
      <c r="H590">
        <v>0</v>
      </c>
      <c r="I590">
        <v>1</v>
      </c>
      <c r="J590" s="7">
        <v>28734153</v>
      </c>
    </row>
    <row r="591" spans="1:10" x14ac:dyDescent="0.35">
      <c r="A591">
        <v>590</v>
      </c>
      <c r="B591" s="6">
        <v>43690</v>
      </c>
      <c r="C591">
        <v>3</v>
      </c>
      <c r="D591">
        <v>1</v>
      </c>
      <c r="E591">
        <v>8</v>
      </c>
      <c r="F591">
        <v>0</v>
      </c>
      <c r="G591">
        <v>1</v>
      </c>
      <c r="H591">
        <v>1</v>
      </c>
      <c r="I591">
        <v>1</v>
      </c>
      <c r="J591" s="7">
        <v>29554153</v>
      </c>
    </row>
    <row r="592" spans="1:10" x14ac:dyDescent="0.35">
      <c r="A592">
        <v>591</v>
      </c>
      <c r="B592" s="6">
        <v>43691</v>
      </c>
      <c r="C592">
        <v>3</v>
      </c>
      <c r="D592">
        <v>1</v>
      </c>
      <c r="E592">
        <v>8</v>
      </c>
      <c r="F592">
        <v>0</v>
      </c>
      <c r="G592">
        <v>2</v>
      </c>
      <c r="H592">
        <v>1</v>
      </c>
      <c r="I592">
        <v>1</v>
      </c>
      <c r="J592" s="7">
        <v>29793347</v>
      </c>
    </row>
    <row r="593" spans="1:10" x14ac:dyDescent="0.35">
      <c r="A593">
        <v>592</v>
      </c>
      <c r="B593" s="6">
        <v>43692</v>
      </c>
      <c r="C593">
        <v>3</v>
      </c>
      <c r="D593">
        <v>1</v>
      </c>
      <c r="E593">
        <v>8</v>
      </c>
      <c r="F593">
        <v>0</v>
      </c>
      <c r="G593">
        <v>3</v>
      </c>
      <c r="H593">
        <v>1</v>
      </c>
      <c r="I593">
        <v>1</v>
      </c>
      <c r="J593" s="7">
        <v>28973347</v>
      </c>
    </row>
    <row r="594" spans="1:10" x14ac:dyDescent="0.35">
      <c r="A594">
        <v>593</v>
      </c>
      <c r="B594" s="6">
        <v>43693</v>
      </c>
      <c r="C594">
        <v>3</v>
      </c>
      <c r="D594">
        <v>1</v>
      </c>
      <c r="E594">
        <v>8</v>
      </c>
      <c r="F594">
        <v>0</v>
      </c>
      <c r="G594">
        <v>4</v>
      </c>
      <c r="H594">
        <v>1</v>
      </c>
      <c r="I594">
        <v>1</v>
      </c>
      <c r="J594" s="7">
        <v>29485847</v>
      </c>
    </row>
    <row r="595" spans="1:10" x14ac:dyDescent="0.35">
      <c r="A595">
        <v>594</v>
      </c>
      <c r="B595" s="6">
        <v>43694</v>
      </c>
      <c r="C595">
        <v>3</v>
      </c>
      <c r="D595">
        <v>1</v>
      </c>
      <c r="E595">
        <v>8</v>
      </c>
      <c r="F595">
        <v>0</v>
      </c>
      <c r="G595">
        <v>5</v>
      </c>
      <c r="H595">
        <v>1</v>
      </c>
      <c r="I595">
        <v>1</v>
      </c>
      <c r="J595" s="7">
        <v>29656653</v>
      </c>
    </row>
    <row r="596" spans="1:10" x14ac:dyDescent="0.35">
      <c r="A596">
        <v>595</v>
      </c>
      <c r="B596" s="6">
        <v>43695</v>
      </c>
      <c r="C596">
        <v>3</v>
      </c>
      <c r="D596">
        <v>1</v>
      </c>
      <c r="E596">
        <v>8</v>
      </c>
      <c r="F596">
        <v>0</v>
      </c>
      <c r="G596">
        <v>6</v>
      </c>
      <c r="H596">
        <v>0</v>
      </c>
      <c r="I596">
        <v>1</v>
      </c>
      <c r="J596" s="7">
        <v>27811653</v>
      </c>
    </row>
    <row r="597" spans="1:10" x14ac:dyDescent="0.35">
      <c r="A597">
        <v>596</v>
      </c>
      <c r="B597" s="6">
        <v>43696</v>
      </c>
      <c r="C597">
        <v>3</v>
      </c>
      <c r="D597">
        <v>1</v>
      </c>
      <c r="E597">
        <v>8</v>
      </c>
      <c r="F597">
        <v>0</v>
      </c>
      <c r="G597">
        <v>0</v>
      </c>
      <c r="H597">
        <v>0</v>
      </c>
      <c r="I597">
        <v>2</v>
      </c>
      <c r="J597" s="7">
        <v>26069153</v>
      </c>
    </row>
    <row r="598" spans="1:10" x14ac:dyDescent="0.35">
      <c r="A598">
        <v>597</v>
      </c>
      <c r="B598" s="6">
        <v>43697</v>
      </c>
      <c r="C598">
        <v>3</v>
      </c>
      <c r="D598">
        <v>1</v>
      </c>
      <c r="E598">
        <v>8</v>
      </c>
      <c r="F598">
        <v>0</v>
      </c>
      <c r="G598">
        <v>1</v>
      </c>
      <c r="H598">
        <v>1</v>
      </c>
      <c r="I598">
        <v>2</v>
      </c>
      <c r="J598" s="7">
        <v>26069153</v>
      </c>
    </row>
    <row r="599" spans="1:10" x14ac:dyDescent="0.35">
      <c r="A599">
        <v>598</v>
      </c>
      <c r="B599" s="6">
        <v>43698</v>
      </c>
      <c r="C599">
        <v>3</v>
      </c>
      <c r="D599">
        <v>1</v>
      </c>
      <c r="E599">
        <v>8</v>
      </c>
      <c r="F599">
        <v>0</v>
      </c>
      <c r="G599">
        <v>2</v>
      </c>
      <c r="H599">
        <v>1</v>
      </c>
      <c r="I599">
        <v>1</v>
      </c>
      <c r="J599" s="7">
        <v>26615847</v>
      </c>
    </row>
    <row r="600" spans="1:10" x14ac:dyDescent="0.35">
      <c r="A600">
        <v>599</v>
      </c>
      <c r="B600" s="6">
        <v>43699</v>
      </c>
      <c r="C600">
        <v>3</v>
      </c>
      <c r="D600">
        <v>1</v>
      </c>
      <c r="E600">
        <v>8</v>
      </c>
      <c r="F600">
        <v>0</v>
      </c>
      <c r="G600">
        <v>3</v>
      </c>
      <c r="H600">
        <v>1</v>
      </c>
      <c r="I600">
        <v>1</v>
      </c>
      <c r="J600" s="7">
        <v>273675</v>
      </c>
    </row>
    <row r="601" spans="1:10" x14ac:dyDescent="0.35">
      <c r="A601">
        <v>600</v>
      </c>
      <c r="B601" s="6">
        <v>43700</v>
      </c>
      <c r="C601">
        <v>3</v>
      </c>
      <c r="D601">
        <v>1</v>
      </c>
      <c r="E601">
        <v>8</v>
      </c>
      <c r="F601">
        <v>0</v>
      </c>
      <c r="G601">
        <v>4</v>
      </c>
      <c r="H601">
        <v>1</v>
      </c>
      <c r="I601">
        <v>1</v>
      </c>
      <c r="J601" s="7">
        <v>28529153</v>
      </c>
    </row>
    <row r="602" spans="1:10" x14ac:dyDescent="0.35">
      <c r="A602">
        <v>601</v>
      </c>
      <c r="B602" s="6">
        <v>43701</v>
      </c>
      <c r="C602">
        <v>3</v>
      </c>
      <c r="D602">
        <v>1</v>
      </c>
      <c r="E602">
        <v>8</v>
      </c>
      <c r="F602">
        <v>0</v>
      </c>
      <c r="G602">
        <v>5</v>
      </c>
      <c r="H602">
        <v>1</v>
      </c>
      <c r="I602">
        <v>2</v>
      </c>
      <c r="J602" s="7">
        <v>288025</v>
      </c>
    </row>
    <row r="603" spans="1:10" x14ac:dyDescent="0.35">
      <c r="A603">
        <v>602</v>
      </c>
      <c r="B603" s="6">
        <v>43702</v>
      </c>
      <c r="C603">
        <v>3</v>
      </c>
      <c r="D603">
        <v>1</v>
      </c>
      <c r="E603">
        <v>8</v>
      </c>
      <c r="F603">
        <v>0</v>
      </c>
      <c r="G603">
        <v>6</v>
      </c>
      <c r="H603">
        <v>0</v>
      </c>
      <c r="I603">
        <v>2</v>
      </c>
      <c r="J603" s="7">
        <v>27128347</v>
      </c>
    </row>
    <row r="604" spans="1:10" x14ac:dyDescent="0.35">
      <c r="A604">
        <v>603</v>
      </c>
      <c r="B604" s="6">
        <v>43703</v>
      </c>
      <c r="C604">
        <v>3</v>
      </c>
      <c r="D604">
        <v>1</v>
      </c>
      <c r="E604">
        <v>8</v>
      </c>
      <c r="F604">
        <v>0</v>
      </c>
      <c r="G604">
        <v>0</v>
      </c>
      <c r="H604">
        <v>0</v>
      </c>
      <c r="I604">
        <v>2</v>
      </c>
      <c r="J604" s="7">
        <v>26786653</v>
      </c>
    </row>
    <row r="605" spans="1:10" x14ac:dyDescent="0.35">
      <c r="A605">
        <v>604</v>
      </c>
      <c r="B605" s="6">
        <v>43704</v>
      </c>
      <c r="C605">
        <v>3</v>
      </c>
      <c r="D605">
        <v>1</v>
      </c>
      <c r="E605">
        <v>8</v>
      </c>
      <c r="F605">
        <v>0</v>
      </c>
      <c r="G605">
        <v>1</v>
      </c>
      <c r="H605">
        <v>1</v>
      </c>
      <c r="I605">
        <v>1</v>
      </c>
      <c r="J605" s="7">
        <v>28836653</v>
      </c>
    </row>
    <row r="606" spans="1:10" x14ac:dyDescent="0.35">
      <c r="A606">
        <v>605</v>
      </c>
      <c r="B606" s="6">
        <v>43705</v>
      </c>
      <c r="C606">
        <v>3</v>
      </c>
      <c r="D606">
        <v>1</v>
      </c>
      <c r="E606">
        <v>8</v>
      </c>
      <c r="F606">
        <v>0</v>
      </c>
      <c r="G606">
        <v>2</v>
      </c>
      <c r="H606">
        <v>1</v>
      </c>
      <c r="I606">
        <v>1</v>
      </c>
      <c r="J606" s="7">
        <v>29861653</v>
      </c>
    </row>
    <row r="607" spans="1:10" x14ac:dyDescent="0.35">
      <c r="A607">
        <v>606</v>
      </c>
      <c r="B607" s="6">
        <v>43706</v>
      </c>
      <c r="C607">
        <v>3</v>
      </c>
      <c r="D607">
        <v>1</v>
      </c>
      <c r="E607">
        <v>8</v>
      </c>
      <c r="F607">
        <v>0</v>
      </c>
      <c r="G607">
        <v>3</v>
      </c>
      <c r="H607">
        <v>1</v>
      </c>
      <c r="I607">
        <v>1</v>
      </c>
      <c r="J607" s="7">
        <v>28085</v>
      </c>
    </row>
    <row r="608" spans="1:10" x14ac:dyDescent="0.35">
      <c r="A608">
        <v>607</v>
      </c>
      <c r="B608" s="6">
        <v>43707</v>
      </c>
      <c r="C608">
        <v>3</v>
      </c>
      <c r="D608">
        <v>1</v>
      </c>
      <c r="E608">
        <v>8</v>
      </c>
      <c r="F608">
        <v>0</v>
      </c>
      <c r="G608">
        <v>4</v>
      </c>
      <c r="H608">
        <v>1</v>
      </c>
      <c r="I608">
        <v>1</v>
      </c>
      <c r="J608" s="7">
        <v>28973347</v>
      </c>
    </row>
    <row r="609" spans="1:10" x14ac:dyDescent="0.35">
      <c r="A609">
        <v>608</v>
      </c>
      <c r="B609" s="6">
        <v>43708</v>
      </c>
      <c r="C609">
        <v>3</v>
      </c>
      <c r="D609">
        <v>1</v>
      </c>
      <c r="E609">
        <v>8</v>
      </c>
      <c r="F609">
        <v>0</v>
      </c>
      <c r="G609">
        <v>5</v>
      </c>
      <c r="H609">
        <v>1</v>
      </c>
      <c r="I609">
        <v>1</v>
      </c>
      <c r="J609" s="7">
        <v>31330847</v>
      </c>
    </row>
    <row r="610" spans="1:10" x14ac:dyDescent="0.35">
      <c r="A610">
        <v>609</v>
      </c>
      <c r="B610" s="6">
        <v>43709</v>
      </c>
      <c r="C610">
        <v>3</v>
      </c>
      <c r="D610">
        <v>1</v>
      </c>
      <c r="E610">
        <v>9</v>
      </c>
      <c r="F610">
        <v>0</v>
      </c>
      <c r="G610">
        <v>6</v>
      </c>
      <c r="H610">
        <v>0</v>
      </c>
      <c r="I610">
        <v>2</v>
      </c>
      <c r="J610" s="7">
        <v>30886653</v>
      </c>
    </row>
    <row r="611" spans="1:10" x14ac:dyDescent="0.35">
      <c r="A611">
        <v>610</v>
      </c>
      <c r="B611" s="6">
        <v>43710</v>
      </c>
      <c r="C611">
        <v>3</v>
      </c>
      <c r="D611">
        <v>1</v>
      </c>
      <c r="E611">
        <v>9</v>
      </c>
      <c r="F611">
        <v>0</v>
      </c>
      <c r="G611">
        <v>0</v>
      </c>
      <c r="H611">
        <v>0</v>
      </c>
      <c r="I611">
        <v>2</v>
      </c>
      <c r="J611" s="7">
        <v>28563347</v>
      </c>
    </row>
    <row r="612" spans="1:10" x14ac:dyDescent="0.35">
      <c r="A612">
        <v>611</v>
      </c>
      <c r="B612" s="6">
        <v>43711</v>
      </c>
      <c r="C612">
        <v>3</v>
      </c>
      <c r="D612">
        <v>1</v>
      </c>
      <c r="E612">
        <v>9</v>
      </c>
      <c r="F612">
        <v>1</v>
      </c>
      <c r="G612">
        <v>1</v>
      </c>
      <c r="H612">
        <v>0</v>
      </c>
      <c r="I612">
        <v>1</v>
      </c>
      <c r="J612" s="7">
        <v>290075</v>
      </c>
    </row>
    <row r="613" spans="1:10" x14ac:dyDescent="0.35">
      <c r="A613">
        <v>612</v>
      </c>
      <c r="B613" s="6">
        <v>43712</v>
      </c>
      <c r="C613">
        <v>3</v>
      </c>
      <c r="D613">
        <v>1</v>
      </c>
      <c r="E613">
        <v>9</v>
      </c>
      <c r="F613">
        <v>0</v>
      </c>
      <c r="G613">
        <v>2</v>
      </c>
      <c r="H613">
        <v>1</v>
      </c>
      <c r="I613">
        <v>1</v>
      </c>
      <c r="J613" s="7">
        <v>29759153</v>
      </c>
    </row>
    <row r="614" spans="1:10" x14ac:dyDescent="0.35">
      <c r="A614">
        <v>613</v>
      </c>
      <c r="B614" s="6">
        <v>43713</v>
      </c>
      <c r="C614">
        <v>3</v>
      </c>
      <c r="D614">
        <v>1</v>
      </c>
      <c r="E614">
        <v>9</v>
      </c>
      <c r="F614">
        <v>0</v>
      </c>
      <c r="G614">
        <v>3</v>
      </c>
      <c r="H614">
        <v>1</v>
      </c>
      <c r="I614">
        <v>1</v>
      </c>
      <c r="J614" s="7">
        <v>30203347</v>
      </c>
    </row>
    <row r="615" spans="1:10" x14ac:dyDescent="0.35">
      <c r="A615">
        <v>614</v>
      </c>
      <c r="B615" s="6">
        <v>43714</v>
      </c>
      <c r="C615">
        <v>3</v>
      </c>
      <c r="D615">
        <v>1</v>
      </c>
      <c r="E615">
        <v>9</v>
      </c>
      <c r="F615">
        <v>0</v>
      </c>
      <c r="G615">
        <v>4</v>
      </c>
      <c r="H615">
        <v>1</v>
      </c>
      <c r="I615">
        <v>2</v>
      </c>
      <c r="J615" s="7">
        <v>28563347</v>
      </c>
    </row>
    <row r="616" spans="1:10" x14ac:dyDescent="0.35">
      <c r="A616">
        <v>615</v>
      </c>
      <c r="B616" s="6">
        <v>43715</v>
      </c>
      <c r="C616">
        <v>3</v>
      </c>
      <c r="D616">
        <v>1</v>
      </c>
      <c r="E616">
        <v>9</v>
      </c>
      <c r="F616">
        <v>0</v>
      </c>
      <c r="G616">
        <v>5</v>
      </c>
      <c r="H616">
        <v>1</v>
      </c>
      <c r="I616">
        <v>1</v>
      </c>
      <c r="J616" s="7">
        <v>28836653</v>
      </c>
    </row>
    <row r="617" spans="1:10" x14ac:dyDescent="0.35">
      <c r="A617">
        <v>616</v>
      </c>
      <c r="B617" s="6">
        <v>43716</v>
      </c>
      <c r="C617">
        <v>3</v>
      </c>
      <c r="D617">
        <v>1</v>
      </c>
      <c r="E617">
        <v>9</v>
      </c>
      <c r="F617">
        <v>0</v>
      </c>
      <c r="G617">
        <v>6</v>
      </c>
      <c r="H617">
        <v>0</v>
      </c>
      <c r="I617">
        <v>2</v>
      </c>
      <c r="J617" s="7">
        <v>27025847</v>
      </c>
    </row>
    <row r="618" spans="1:10" x14ac:dyDescent="0.35">
      <c r="A618">
        <v>617</v>
      </c>
      <c r="B618" s="6">
        <v>43717</v>
      </c>
      <c r="C618">
        <v>3</v>
      </c>
      <c r="D618">
        <v>1</v>
      </c>
      <c r="E618">
        <v>9</v>
      </c>
      <c r="F618">
        <v>0</v>
      </c>
      <c r="G618">
        <v>0</v>
      </c>
      <c r="H618">
        <v>0</v>
      </c>
      <c r="I618">
        <v>1</v>
      </c>
      <c r="J618" t="s">
        <v>93</v>
      </c>
    </row>
    <row r="619" spans="1:10" x14ac:dyDescent="0.35">
      <c r="A619">
        <v>618</v>
      </c>
      <c r="B619" s="6">
        <v>43718</v>
      </c>
      <c r="C619">
        <v>3</v>
      </c>
      <c r="D619">
        <v>1</v>
      </c>
      <c r="E619">
        <v>9</v>
      </c>
      <c r="F619">
        <v>0</v>
      </c>
      <c r="G619">
        <v>1</v>
      </c>
      <c r="H619">
        <v>1</v>
      </c>
      <c r="I619">
        <v>1</v>
      </c>
      <c r="J619" s="7">
        <v>23916653</v>
      </c>
    </row>
    <row r="620" spans="1:10" x14ac:dyDescent="0.35">
      <c r="A620">
        <v>619</v>
      </c>
      <c r="B620" s="6">
        <v>43719</v>
      </c>
      <c r="C620">
        <v>3</v>
      </c>
      <c r="D620">
        <v>1</v>
      </c>
      <c r="E620">
        <v>9</v>
      </c>
      <c r="F620">
        <v>0</v>
      </c>
      <c r="G620">
        <v>2</v>
      </c>
      <c r="H620">
        <v>1</v>
      </c>
      <c r="I620">
        <v>1</v>
      </c>
      <c r="J620" s="7">
        <v>236775</v>
      </c>
    </row>
    <row r="621" spans="1:10" x14ac:dyDescent="0.35">
      <c r="A621">
        <v>620</v>
      </c>
      <c r="B621" s="6">
        <v>43720</v>
      </c>
      <c r="C621">
        <v>3</v>
      </c>
      <c r="D621">
        <v>1</v>
      </c>
      <c r="E621">
        <v>9</v>
      </c>
      <c r="F621">
        <v>0</v>
      </c>
      <c r="G621">
        <v>3</v>
      </c>
      <c r="H621">
        <v>1</v>
      </c>
      <c r="I621">
        <v>1</v>
      </c>
      <c r="J621" s="7">
        <v>24565847</v>
      </c>
    </row>
    <row r="622" spans="1:10" x14ac:dyDescent="0.35">
      <c r="A622">
        <v>621</v>
      </c>
      <c r="B622" s="6">
        <v>43721</v>
      </c>
      <c r="C622">
        <v>3</v>
      </c>
      <c r="D622">
        <v>1</v>
      </c>
      <c r="E622">
        <v>9</v>
      </c>
      <c r="F622">
        <v>0</v>
      </c>
      <c r="G622">
        <v>4</v>
      </c>
      <c r="H622">
        <v>1</v>
      </c>
      <c r="I622">
        <v>1</v>
      </c>
      <c r="J622" s="7">
        <v>251125</v>
      </c>
    </row>
    <row r="623" spans="1:10" x14ac:dyDescent="0.35">
      <c r="A623">
        <v>622</v>
      </c>
      <c r="B623" s="6">
        <v>43722</v>
      </c>
      <c r="C623">
        <v>3</v>
      </c>
      <c r="D623">
        <v>1</v>
      </c>
      <c r="E623">
        <v>9</v>
      </c>
      <c r="F623">
        <v>0</v>
      </c>
      <c r="G623">
        <v>5</v>
      </c>
      <c r="H623">
        <v>1</v>
      </c>
      <c r="I623">
        <v>1</v>
      </c>
      <c r="J623" s="7">
        <v>25966653</v>
      </c>
    </row>
    <row r="624" spans="1:10" x14ac:dyDescent="0.35">
      <c r="A624">
        <v>623</v>
      </c>
      <c r="B624" s="6">
        <v>43723</v>
      </c>
      <c r="C624">
        <v>3</v>
      </c>
      <c r="D624">
        <v>1</v>
      </c>
      <c r="E624">
        <v>9</v>
      </c>
      <c r="F624">
        <v>0</v>
      </c>
      <c r="G624">
        <v>6</v>
      </c>
      <c r="H624">
        <v>0</v>
      </c>
      <c r="I624">
        <v>1</v>
      </c>
      <c r="J624" s="7">
        <v>24941653</v>
      </c>
    </row>
    <row r="625" spans="1:10" x14ac:dyDescent="0.35">
      <c r="A625">
        <v>624</v>
      </c>
      <c r="B625" s="6">
        <v>43724</v>
      </c>
      <c r="C625">
        <v>3</v>
      </c>
      <c r="D625">
        <v>1</v>
      </c>
      <c r="E625">
        <v>9</v>
      </c>
      <c r="F625">
        <v>0</v>
      </c>
      <c r="G625">
        <v>0</v>
      </c>
      <c r="H625">
        <v>0</v>
      </c>
      <c r="I625">
        <v>1</v>
      </c>
      <c r="J625" t="s">
        <v>94</v>
      </c>
    </row>
    <row r="626" spans="1:10" x14ac:dyDescent="0.35">
      <c r="A626">
        <v>625</v>
      </c>
      <c r="B626" s="6">
        <v>43725</v>
      </c>
      <c r="C626">
        <v>3</v>
      </c>
      <c r="D626">
        <v>1</v>
      </c>
      <c r="E626">
        <v>9</v>
      </c>
      <c r="F626">
        <v>0</v>
      </c>
      <c r="G626">
        <v>1</v>
      </c>
      <c r="H626">
        <v>1</v>
      </c>
      <c r="I626">
        <v>2</v>
      </c>
      <c r="J626" s="7">
        <v>23814153</v>
      </c>
    </row>
    <row r="627" spans="1:10" x14ac:dyDescent="0.35">
      <c r="A627">
        <v>626</v>
      </c>
      <c r="B627" s="6">
        <v>43726</v>
      </c>
      <c r="C627">
        <v>3</v>
      </c>
      <c r="D627">
        <v>1</v>
      </c>
      <c r="E627">
        <v>9</v>
      </c>
      <c r="F627">
        <v>0</v>
      </c>
      <c r="G627">
        <v>2</v>
      </c>
      <c r="H627">
        <v>1</v>
      </c>
      <c r="I627">
        <v>2</v>
      </c>
      <c r="J627" s="7">
        <v>25556653</v>
      </c>
    </row>
    <row r="628" spans="1:10" x14ac:dyDescent="0.35">
      <c r="A628">
        <v>627</v>
      </c>
      <c r="B628" s="6">
        <v>43727</v>
      </c>
      <c r="C628">
        <v>3</v>
      </c>
      <c r="D628">
        <v>1</v>
      </c>
      <c r="E628">
        <v>9</v>
      </c>
      <c r="F628">
        <v>0</v>
      </c>
      <c r="G628">
        <v>3</v>
      </c>
      <c r="H628">
        <v>1</v>
      </c>
      <c r="I628">
        <v>1</v>
      </c>
      <c r="J628" s="7">
        <v>226525</v>
      </c>
    </row>
    <row r="629" spans="1:10" x14ac:dyDescent="0.35">
      <c r="A629">
        <v>628</v>
      </c>
      <c r="B629" s="6">
        <v>43728</v>
      </c>
      <c r="C629">
        <v>3</v>
      </c>
      <c r="D629">
        <v>1</v>
      </c>
      <c r="E629">
        <v>9</v>
      </c>
      <c r="F629">
        <v>0</v>
      </c>
      <c r="G629">
        <v>4</v>
      </c>
      <c r="H629">
        <v>1</v>
      </c>
      <c r="I629">
        <v>1</v>
      </c>
      <c r="J629" s="7">
        <v>22413347</v>
      </c>
    </row>
    <row r="630" spans="1:10" x14ac:dyDescent="0.35">
      <c r="A630">
        <v>629</v>
      </c>
      <c r="B630" s="6">
        <v>43729</v>
      </c>
      <c r="C630">
        <v>3</v>
      </c>
      <c r="D630">
        <v>1</v>
      </c>
      <c r="E630">
        <v>9</v>
      </c>
      <c r="F630">
        <v>0</v>
      </c>
      <c r="G630">
        <v>5</v>
      </c>
      <c r="H630">
        <v>1</v>
      </c>
      <c r="I630">
        <v>1</v>
      </c>
      <c r="J630" s="7">
        <v>24565847</v>
      </c>
    </row>
    <row r="631" spans="1:10" x14ac:dyDescent="0.35">
      <c r="A631">
        <v>630</v>
      </c>
      <c r="B631" s="6">
        <v>43730</v>
      </c>
      <c r="C631">
        <v>3</v>
      </c>
      <c r="D631">
        <v>1</v>
      </c>
      <c r="E631">
        <v>9</v>
      </c>
      <c r="F631">
        <v>0</v>
      </c>
      <c r="G631">
        <v>6</v>
      </c>
      <c r="H631">
        <v>0</v>
      </c>
      <c r="I631">
        <v>1</v>
      </c>
      <c r="J631" t="s">
        <v>74</v>
      </c>
    </row>
    <row r="632" spans="1:10" x14ac:dyDescent="0.35">
      <c r="A632">
        <v>631</v>
      </c>
      <c r="B632" s="6">
        <v>43731</v>
      </c>
      <c r="C632">
        <v>4</v>
      </c>
      <c r="D632">
        <v>1</v>
      </c>
      <c r="E632">
        <v>9</v>
      </c>
      <c r="F632">
        <v>0</v>
      </c>
      <c r="G632">
        <v>0</v>
      </c>
      <c r="H632">
        <v>0</v>
      </c>
      <c r="I632">
        <v>1</v>
      </c>
      <c r="J632" s="7">
        <v>21695847</v>
      </c>
    </row>
    <row r="633" spans="1:10" x14ac:dyDescent="0.35">
      <c r="A633">
        <v>632</v>
      </c>
      <c r="B633" s="6">
        <v>43732</v>
      </c>
      <c r="C633">
        <v>4</v>
      </c>
      <c r="D633">
        <v>1</v>
      </c>
      <c r="E633">
        <v>9</v>
      </c>
      <c r="F633">
        <v>0</v>
      </c>
      <c r="G633">
        <v>1</v>
      </c>
      <c r="H633">
        <v>1</v>
      </c>
      <c r="I633">
        <v>1</v>
      </c>
      <c r="J633" s="7">
        <v>21080847</v>
      </c>
    </row>
    <row r="634" spans="1:10" x14ac:dyDescent="0.35">
      <c r="A634">
        <v>633</v>
      </c>
      <c r="B634" s="6">
        <v>43733</v>
      </c>
      <c r="C634">
        <v>4</v>
      </c>
      <c r="D634">
        <v>1</v>
      </c>
      <c r="E634">
        <v>9</v>
      </c>
      <c r="F634">
        <v>0</v>
      </c>
      <c r="G634">
        <v>2</v>
      </c>
      <c r="H634">
        <v>1</v>
      </c>
      <c r="I634">
        <v>1</v>
      </c>
      <c r="J634" t="s">
        <v>66</v>
      </c>
    </row>
    <row r="635" spans="1:10" x14ac:dyDescent="0.35">
      <c r="A635">
        <v>634</v>
      </c>
      <c r="B635" s="6">
        <v>43734</v>
      </c>
      <c r="C635">
        <v>4</v>
      </c>
      <c r="D635">
        <v>1</v>
      </c>
      <c r="E635">
        <v>9</v>
      </c>
      <c r="F635">
        <v>0</v>
      </c>
      <c r="G635">
        <v>3</v>
      </c>
      <c r="H635">
        <v>1</v>
      </c>
      <c r="I635">
        <v>1</v>
      </c>
      <c r="J635" s="7">
        <v>26035</v>
      </c>
    </row>
    <row r="636" spans="1:10" x14ac:dyDescent="0.35">
      <c r="A636">
        <v>635</v>
      </c>
      <c r="B636" s="6">
        <v>43735</v>
      </c>
      <c r="C636">
        <v>4</v>
      </c>
      <c r="D636">
        <v>1</v>
      </c>
      <c r="E636">
        <v>9</v>
      </c>
      <c r="F636">
        <v>0</v>
      </c>
      <c r="G636">
        <v>4</v>
      </c>
      <c r="H636">
        <v>1</v>
      </c>
      <c r="I636">
        <v>2</v>
      </c>
      <c r="J636" t="s">
        <v>74</v>
      </c>
    </row>
    <row r="637" spans="1:10" x14ac:dyDescent="0.35">
      <c r="A637">
        <v>636</v>
      </c>
      <c r="B637" s="6">
        <v>43736</v>
      </c>
      <c r="C637">
        <v>4</v>
      </c>
      <c r="D637">
        <v>1</v>
      </c>
      <c r="E637">
        <v>9</v>
      </c>
      <c r="F637">
        <v>0</v>
      </c>
      <c r="G637">
        <v>5</v>
      </c>
      <c r="H637">
        <v>1</v>
      </c>
      <c r="I637">
        <v>2</v>
      </c>
      <c r="J637" s="7">
        <v>25385847</v>
      </c>
    </row>
    <row r="638" spans="1:10" x14ac:dyDescent="0.35">
      <c r="A638">
        <v>637</v>
      </c>
      <c r="B638" s="6">
        <v>43737</v>
      </c>
      <c r="C638">
        <v>4</v>
      </c>
      <c r="D638">
        <v>1</v>
      </c>
      <c r="E638">
        <v>9</v>
      </c>
      <c r="F638">
        <v>0</v>
      </c>
      <c r="G638">
        <v>6</v>
      </c>
      <c r="H638">
        <v>0</v>
      </c>
      <c r="I638">
        <v>1</v>
      </c>
      <c r="J638" s="7">
        <v>222425</v>
      </c>
    </row>
    <row r="639" spans="1:10" x14ac:dyDescent="0.35">
      <c r="A639">
        <v>638</v>
      </c>
      <c r="B639" s="6">
        <v>43738</v>
      </c>
      <c r="C639">
        <v>4</v>
      </c>
      <c r="D639">
        <v>1</v>
      </c>
      <c r="E639">
        <v>9</v>
      </c>
      <c r="F639">
        <v>0</v>
      </c>
      <c r="G639">
        <v>0</v>
      </c>
      <c r="H639">
        <v>0</v>
      </c>
      <c r="I639">
        <v>1</v>
      </c>
      <c r="J639" s="7">
        <v>21593347</v>
      </c>
    </row>
    <row r="640" spans="1:10" x14ac:dyDescent="0.35">
      <c r="A640">
        <v>639</v>
      </c>
      <c r="B640" s="6">
        <v>43739</v>
      </c>
      <c r="C640">
        <v>4</v>
      </c>
      <c r="D640">
        <v>1</v>
      </c>
      <c r="E640">
        <v>10</v>
      </c>
      <c r="F640">
        <v>0</v>
      </c>
      <c r="G640">
        <v>1</v>
      </c>
      <c r="H640">
        <v>1</v>
      </c>
      <c r="I640">
        <v>2</v>
      </c>
      <c r="J640" s="7">
        <v>21354153</v>
      </c>
    </row>
    <row r="641" spans="1:10" x14ac:dyDescent="0.35">
      <c r="A641">
        <v>640</v>
      </c>
      <c r="B641" s="6">
        <v>43740</v>
      </c>
      <c r="C641">
        <v>4</v>
      </c>
      <c r="D641">
        <v>1</v>
      </c>
      <c r="E641">
        <v>10</v>
      </c>
      <c r="F641">
        <v>0</v>
      </c>
      <c r="G641">
        <v>2</v>
      </c>
      <c r="H641">
        <v>1</v>
      </c>
      <c r="I641">
        <v>3</v>
      </c>
      <c r="J641" s="7">
        <v>24224153</v>
      </c>
    </row>
    <row r="642" spans="1:10" x14ac:dyDescent="0.35">
      <c r="A642">
        <v>641</v>
      </c>
      <c r="B642" s="6">
        <v>43741</v>
      </c>
      <c r="C642">
        <v>4</v>
      </c>
      <c r="D642">
        <v>1</v>
      </c>
      <c r="E642">
        <v>10</v>
      </c>
      <c r="F642">
        <v>0</v>
      </c>
      <c r="G642">
        <v>3</v>
      </c>
      <c r="H642">
        <v>1</v>
      </c>
      <c r="I642">
        <v>2</v>
      </c>
      <c r="J642" s="7">
        <v>269575</v>
      </c>
    </row>
    <row r="643" spans="1:10" x14ac:dyDescent="0.35">
      <c r="A643">
        <v>642</v>
      </c>
      <c r="B643" s="6">
        <v>43742</v>
      </c>
      <c r="C643">
        <v>4</v>
      </c>
      <c r="D643">
        <v>1</v>
      </c>
      <c r="E643">
        <v>10</v>
      </c>
      <c r="F643">
        <v>0</v>
      </c>
      <c r="G643">
        <v>4</v>
      </c>
      <c r="H643">
        <v>1</v>
      </c>
      <c r="I643">
        <v>2</v>
      </c>
      <c r="J643" s="7">
        <v>269575</v>
      </c>
    </row>
    <row r="644" spans="1:10" x14ac:dyDescent="0.35">
      <c r="A644">
        <v>643</v>
      </c>
      <c r="B644" s="6">
        <v>43743</v>
      </c>
      <c r="C644">
        <v>4</v>
      </c>
      <c r="D644">
        <v>1</v>
      </c>
      <c r="E644">
        <v>10</v>
      </c>
      <c r="F644">
        <v>0</v>
      </c>
      <c r="G644">
        <v>5</v>
      </c>
      <c r="H644">
        <v>1</v>
      </c>
      <c r="I644">
        <v>1</v>
      </c>
      <c r="J644" s="7">
        <v>25215</v>
      </c>
    </row>
    <row r="645" spans="1:10" x14ac:dyDescent="0.35">
      <c r="A645">
        <v>644</v>
      </c>
      <c r="B645" s="6">
        <v>43744</v>
      </c>
      <c r="C645">
        <v>4</v>
      </c>
      <c r="D645">
        <v>1</v>
      </c>
      <c r="E645">
        <v>10</v>
      </c>
      <c r="F645">
        <v>0</v>
      </c>
      <c r="G645">
        <v>6</v>
      </c>
      <c r="H645">
        <v>0</v>
      </c>
      <c r="I645">
        <v>1</v>
      </c>
      <c r="J645" s="7">
        <v>22720847</v>
      </c>
    </row>
    <row r="646" spans="1:10" x14ac:dyDescent="0.35">
      <c r="A646">
        <v>645</v>
      </c>
      <c r="B646" s="6">
        <v>43745</v>
      </c>
      <c r="C646">
        <v>4</v>
      </c>
      <c r="D646">
        <v>1</v>
      </c>
      <c r="E646">
        <v>10</v>
      </c>
      <c r="F646">
        <v>0</v>
      </c>
      <c r="G646">
        <v>0</v>
      </c>
      <c r="H646">
        <v>0</v>
      </c>
      <c r="I646">
        <v>2</v>
      </c>
      <c r="J646" s="7">
        <v>17049153</v>
      </c>
    </row>
    <row r="647" spans="1:10" x14ac:dyDescent="0.35">
      <c r="A647">
        <v>646</v>
      </c>
      <c r="B647" s="6">
        <v>43746</v>
      </c>
      <c r="C647">
        <v>4</v>
      </c>
      <c r="D647">
        <v>1</v>
      </c>
      <c r="E647">
        <v>10</v>
      </c>
      <c r="F647">
        <v>1</v>
      </c>
      <c r="G647">
        <v>1</v>
      </c>
      <c r="H647">
        <v>0</v>
      </c>
      <c r="I647">
        <v>2</v>
      </c>
      <c r="J647" s="7">
        <v>15716653</v>
      </c>
    </row>
    <row r="648" spans="1:10" x14ac:dyDescent="0.35">
      <c r="A648">
        <v>647</v>
      </c>
      <c r="B648" s="6">
        <v>43747</v>
      </c>
      <c r="C648">
        <v>4</v>
      </c>
      <c r="D648">
        <v>1</v>
      </c>
      <c r="E648">
        <v>10</v>
      </c>
      <c r="F648">
        <v>0</v>
      </c>
      <c r="G648">
        <v>2</v>
      </c>
      <c r="H648">
        <v>1</v>
      </c>
      <c r="I648">
        <v>2</v>
      </c>
      <c r="J648" s="7">
        <v>18313347</v>
      </c>
    </row>
    <row r="649" spans="1:10" x14ac:dyDescent="0.35">
      <c r="A649">
        <v>648</v>
      </c>
      <c r="B649" s="6">
        <v>43748</v>
      </c>
      <c r="C649">
        <v>4</v>
      </c>
      <c r="D649">
        <v>1</v>
      </c>
      <c r="E649">
        <v>10</v>
      </c>
      <c r="F649">
        <v>0</v>
      </c>
      <c r="G649">
        <v>3</v>
      </c>
      <c r="H649">
        <v>1</v>
      </c>
      <c r="I649">
        <v>1</v>
      </c>
      <c r="J649" s="7">
        <v>21080847</v>
      </c>
    </row>
    <row r="650" spans="1:10" x14ac:dyDescent="0.35">
      <c r="A650">
        <v>649</v>
      </c>
      <c r="B650" s="6">
        <v>43749</v>
      </c>
      <c r="C650">
        <v>4</v>
      </c>
      <c r="D650">
        <v>1</v>
      </c>
      <c r="E650">
        <v>10</v>
      </c>
      <c r="F650">
        <v>0</v>
      </c>
      <c r="G650">
        <v>4</v>
      </c>
      <c r="H650">
        <v>1</v>
      </c>
      <c r="I650">
        <v>1</v>
      </c>
      <c r="J650" s="7">
        <v>17835</v>
      </c>
    </row>
    <row r="651" spans="1:10" x14ac:dyDescent="0.35">
      <c r="A651">
        <v>650</v>
      </c>
      <c r="B651" s="6">
        <v>43750</v>
      </c>
      <c r="C651">
        <v>4</v>
      </c>
      <c r="D651">
        <v>1</v>
      </c>
      <c r="E651">
        <v>10</v>
      </c>
      <c r="F651">
        <v>0</v>
      </c>
      <c r="G651">
        <v>5</v>
      </c>
      <c r="H651">
        <v>1</v>
      </c>
      <c r="I651">
        <v>1</v>
      </c>
      <c r="J651" s="7">
        <v>179375</v>
      </c>
    </row>
    <row r="652" spans="1:10" x14ac:dyDescent="0.35">
      <c r="A652">
        <v>651</v>
      </c>
      <c r="B652" s="6">
        <v>43751</v>
      </c>
      <c r="C652">
        <v>4</v>
      </c>
      <c r="D652">
        <v>1</v>
      </c>
      <c r="E652">
        <v>10</v>
      </c>
      <c r="F652">
        <v>0</v>
      </c>
      <c r="G652">
        <v>6</v>
      </c>
      <c r="H652">
        <v>0</v>
      </c>
      <c r="I652">
        <v>1</v>
      </c>
      <c r="J652" s="7">
        <v>16126653</v>
      </c>
    </row>
    <row r="653" spans="1:10" x14ac:dyDescent="0.35">
      <c r="A653">
        <v>652</v>
      </c>
      <c r="B653" s="6">
        <v>43752</v>
      </c>
      <c r="C653">
        <v>4</v>
      </c>
      <c r="D653">
        <v>1</v>
      </c>
      <c r="E653">
        <v>10</v>
      </c>
      <c r="F653">
        <v>0</v>
      </c>
      <c r="G653">
        <v>0</v>
      </c>
      <c r="H653">
        <v>0</v>
      </c>
      <c r="I653">
        <v>1</v>
      </c>
      <c r="J653" s="7">
        <v>21388347</v>
      </c>
    </row>
    <row r="654" spans="1:10" x14ac:dyDescent="0.35">
      <c r="A654">
        <v>653</v>
      </c>
      <c r="B654" s="6">
        <v>43753</v>
      </c>
      <c r="C654">
        <v>4</v>
      </c>
      <c r="D654">
        <v>1</v>
      </c>
      <c r="E654">
        <v>10</v>
      </c>
      <c r="F654">
        <v>0</v>
      </c>
      <c r="G654">
        <v>1</v>
      </c>
      <c r="H654">
        <v>1</v>
      </c>
      <c r="I654">
        <v>2</v>
      </c>
      <c r="J654" s="7">
        <v>23028347</v>
      </c>
    </row>
    <row r="655" spans="1:10" x14ac:dyDescent="0.35">
      <c r="A655">
        <v>654</v>
      </c>
      <c r="B655" s="6">
        <v>43754</v>
      </c>
      <c r="C655">
        <v>4</v>
      </c>
      <c r="D655">
        <v>1</v>
      </c>
      <c r="E655">
        <v>10</v>
      </c>
      <c r="F655">
        <v>0</v>
      </c>
      <c r="G655">
        <v>2</v>
      </c>
      <c r="H655">
        <v>1</v>
      </c>
      <c r="I655">
        <v>1</v>
      </c>
      <c r="J655" s="7">
        <v>19201653</v>
      </c>
    </row>
    <row r="656" spans="1:10" x14ac:dyDescent="0.35">
      <c r="A656">
        <v>655</v>
      </c>
      <c r="B656" s="6">
        <v>43755</v>
      </c>
      <c r="C656">
        <v>4</v>
      </c>
      <c r="D656">
        <v>1</v>
      </c>
      <c r="E656">
        <v>10</v>
      </c>
      <c r="F656">
        <v>0</v>
      </c>
      <c r="G656">
        <v>3</v>
      </c>
      <c r="H656">
        <v>1</v>
      </c>
      <c r="I656">
        <v>1</v>
      </c>
      <c r="J656" s="7">
        <v>18689153</v>
      </c>
    </row>
    <row r="657" spans="1:10" x14ac:dyDescent="0.35">
      <c r="A657">
        <v>656</v>
      </c>
      <c r="B657" s="6">
        <v>43756</v>
      </c>
      <c r="C657">
        <v>4</v>
      </c>
      <c r="D657">
        <v>1</v>
      </c>
      <c r="E657">
        <v>10</v>
      </c>
      <c r="F657">
        <v>0</v>
      </c>
      <c r="G657">
        <v>4</v>
      </c>
      <c r="H657">
        <v>1</v>
      </c>
      <c r="I657">
        <v>2</v>
      </c>
      <c r="J657" s="7">
        <v>214225</v>
      </c>
    </row>
    <row r="658" spans="1:10" x14ac:dyDescent="0.35">
      <c r="A658">
        <v>657</v>
      </c>
      <c r="B658" s="6">
        <v>43757</v>
      </c>
      <c r="C658">
        <v>4</v>
      </c>
      <c r="D658">
        <v>1</v>
      </c>
      <c r="E658">
        <v>10</v>
      </c>
      <c r="F658">
        <v>0</v>
      </c>
      <c r="G658">
        <v>5</v>
      </c>
      <c r="H658">
        <v>1</v>
      </c>
      <c r="I658">
        <v>2</v>
      </c>
      <c r="J658" s="7">
        <v>23096653</v>
      </c>
    </row>
    <row r="659" spans="1:10" x14ac:dyDescent="0.35">
      <c r="A659">
        <v>658</v>
      </c>
      <c r="B659" s="6">
        <v>43758</v>
      </c>
      <c r="C659">
        <v>4</v>
      </c>
      <c r="D659">
        <v>1</v>
      </c>
      <c r="E659">
        <v>10</v>
      </c>
      <c r="F659">
        <v>0</v>
      </c>
      <c r="G659">
        <v>6</v>
      </c>
      <c r="H659">
        <v>0</v>
      </c>
      <c r="I659">
        <v>1</v>
      </c>
      <c r="J659" s="7">
        <v>19850847</v>
      </c>
    </row>
    <row r="660" spans="1:10" x14ac:dyDescent="0.35">
      <c r="A660">
        <v>659</v>
      </c>
      <c r="B660" s="6">
        <v>43759</v>
      </c>
      <c r="C660">
        <v>4</v>
      </c>
      <c r="D660">
        <v>1</v>
      </c>
      <c r="E660">
        <v>10</v>
      </c>
      <c r="F660">
        <v>0</v>
      </c>
      <c r="G660">
        <v>0</v>
      </c>
      <c r="H660">
        <v>0</v>
      </c>
      <c r="I660">
        <v>1</v>
      </c>
      <c r="J660" s="7">
        <v>19030847</v>
      </c>
    </row>
    <row r="661" spans="1:10" x14ac:dyDescent="0.35">
      <c r="A661">
        <v>660</v>
      </c>
      <c r="B661" s="6">
        <v>43760</v>
      </c>
      <c r="C661">
        <v>4</v>
      </c>
      <c r="D661">
        <v>1</v>
      </c>
      <c r="E661">
        <v>10</v>
      </c>
      <c r="F661">
        <v>0</v>
      </c>
      <c r="G661">
        <v>1</v>
      </c>
      <c r="H661">
        <v>1</v>
      </c>
      <c r="I661">
        <v>1</v>
      </c>
      <c r="J661" s="7">
        <v>199875</v>
      </c>
    </row>
    <row r="662" spans="1:10" x14ac:dyDescent="0.35">
      <c r="A662">
        <v>661</v>
      </c>
      <c r="B662" s="6">
        <v>43761</v>
      </c>
      <c r="C662">
        <v>4</v>
      </c>
      <c r="D662">
        <v>1</v>
      </c>
      <c r="E662">
        <v>10</v>
      </c>
      <c r="F662">
        <v>0</v>
      </c>
      <c r="G662">
        <v>2</v>
      </c>
      <c r="H662">
        <v>1</v>
      </c>
      <c r="I662">
        <v>1</v>
      </c>
      <c r="J662" s="7">
        <v>22310847</v>
      </c>
    </row>
    <row r="663" spans="1:10" x14ac:dyDescent="0.35">
      <c r="A663">
        <v>662</v>
      </c>
      <c r="B663" s="6">
        <v>43762</v>
      </c>
      <c r="C663">
        <v>4</v>
      </c>
      <c r="D663">
        <v>1</v>
      </c>
      <c r="E663">
        <v>10</v>
      </c>
      <c r="F663">
        <v>0</v>
      </c>
      <c r="G663">
        <v>3</v>
      </c>
      <c r="H663">
        <v>1</v>
      </c>
      <c r="I663">
        <v>1</v>
      </c>
      <c r="J663" s="7">
        <v>240875</v>
      </c>
    </row>
    <row r="664" spans="1:10" x14ac:dyDescent="0.35">
      <c r="A664">
        <v>663</v>
      </c>
      <c r="B664" s="6">
        <v>43763</v>
      </c>
      <c r="C664">
        <v>4</v>
      </c>
      <c r="D664">
        <v>1</v>
      </c>
      <c r="E664">
        <v>10</v>
      </c>
      <c r="F664">
        <v>0</v>
      </c>
      <c r="G664">
        <v>4</v>
      </c>
      <c r="H664">
        <v>1</v>
      </c>
      <c r="I664">
        <v>2</v>
      </c>
      <c r="J664" t="s">
        <v>66</v>
      </c>
    </row>
    <row r="665" spans="1:10" x14ac:dyDescent="0.35">
      <c r="A665">
        <v>664</v>
      </c>
      <c r="B665" s="6">
        <v>43764</v>
      </c>
      <c r="C665">
        <v>4</v>
      </c>
      <c r="D665">
        <v>1</v>
      </c>
      <c r="E665">
        <v>10</v>
      </c>
      <c r="F665">
        <v>0</v>
      </c>
      <c r="G665">
        <v>5</v>
      </c>
      <c r="H665">
        <v>1</v>
      </c>
      <c r="I665">
        <v>2</v>
      </c>
      <c r="J665" s="7">
        <v>22379153</v>
      </c>
    </row>
    <row r="666" spans="1:10" x14ac:dyDescent="0.35">
      <c r="A666">
        <v>665</v>
      </c>
      <c r="B666" s="6">
        <v>43765</v>
      </c>
      <c r="C666">
        <v>4</v>
      </c>
      <c r="D666">
        <v>1</v>
      </c>
      <c r="E666">
        <v>10</v>
      </c>
      <c r="F666">
        <v>0</v>
      </c>
      <c r="G666">
        <v>6</v>
      </c>
      <c r="H666">
        <v>0</v>
      </c>
      <c r="I666">
        <v>2</v>
      </c>
      <c r="J666" t="s">
        <v>80</v>
      </c>
    </row>
    <row r="667" spans="1:10" x14ac:dyDescent="0.35">
      <c r="A667">
        <v>666</v>
      </c>
      <c r="B667" s="6">
        <v>43766</v>
      </c>
      <c r="C667">
        <v>4</v>
      </c>
      <c r="D667">
        <v>1</v>
      </c>
      <c r="E667">
        <v>10</v>
      </c>
      <c r="F667">
        <v>0</v>
      </c>
      <c r="G667">
        <v>0</v>
      </c>
      <c r="H667">
        <v>0</v>
      </c>
      <c r="I667">
        <v>2</v>
      </c>
      <c r="J667" s="7">
        <v>195775</v>
      </c>
    </row>
    <row r="668" spans="1:10" x14ac:dyDescent="0.35">
      <c r="A668">
        <v>667</v>
      </c>
      <c r="B668" s="6">
        <v>43767</v>
      </c>
      <c r="C668">
        <v>4</v>
      </c>
      <c r="D668">
        <v>1</v>
      </c>
      <c r="E668">
        <v>10</v>
      </c>
      <c r="F668">
        <v>0</v>
      </c>
      <c r="G668">
        <v>1</v>
      </c>
      <c r="H668">
        <v>1</v>
      </c>
      <c r="I668">
        <v>3</v>
      </c>
      <c r="J668" t="s">
        <v>95</v>
      </c>
    </row>
    <row r="669" spans="1:10" x14ac:dyDescent="0.35">
      <c r="A669">
        <v>668</v>
      </c>
      <c r="B669" s="6">
        <v>43768</v>
      </c>
      <c r="C669">
        <v>4</v>
      </c>
      <c r="D669">
        <v>1</v>
      </c>
      <c r="E669">
        <v>10</v>
      </c>
      <c r="F669">
        <v>0</v>
      </c>
      <c r="G669">
        <v>2</v>
      </c>
      <c r="H669">
        <v>1</v>
      </c>
      <c r="I669">
        <v>2</v>
      </c>
      <c r="J669" s="7">
        <v>13045462</v>
      </c>
    </row>
    <row r="670" spans="1:10" x14ac:dyDescent="0.35">
      <c r="A670">
        <v>669</v>
      </c>
      <c r="B670" s="6">
        <v>43769</v>
      </c>
      <c r="C670">
        <v>4</v>
      </c>
      <c r="D670">
        <v>1</v>
      </c>
      <c r="E670">
        <v>10</v>
      </c>
      <c r="F670">
        <v>0</v>
      </c>
      <c r="G670">
        <v>3</v>
      </c>
      <c r="H670">
        <v>1</v>
      </c>
      <c r="I670">
        <v>2</v>
      </c>
      <c r="J670" s="7">
        <v>146575</v>
      </c>
    </row>
    <row r="671" spans="1:10" x14ac:dyDescent="0.35">
      <c r="A671">
        <v>670</v>
      </c>
      <c r="B671" s="6">
        <v>43770</v>
      </c>
      <c r="C671">
        <v>4</v>
      </c>
      <c r="D671">
        <v>1</v>
      </c>
      <c r="E671">
        <v>11</v>
      </c>
      <c r="F671">
        <v>0</v>
      </c>
      <c r="G671">
        <v>4</v>
      </c>
      <c r="H671">
        <v>1</v>
      </c>
      <c r="I671">
        <v>2</v>
      </c>
      <c r="J671" s="7">
        <v>14999153</v>
      </c>
    </row>
    <row r="672" spans="1:10" x14ac:dyDescent="0.35">
      <c r="A672">
        <v>671</v>
      </c>
      <c r="B672" s="6">
        <v>43771</v>
      </c>
      <c r="C672">
        <v>4</v>
      </c>
      <c r="D672">
        <v>1</v>
      </c>
      <c r="E672">
        <v>11</v>
      </c>
      <c r="F672">
        <v>0</v>
      </c>
      <c r="G672">
        <v>5</v>
      </c>
      <c r="H672">
        <v>1</v>
      </c>
      <c r="I672">
        <v>1</v>
      </c>
      <c r="J672" s="7">
        <v>14555</v>
      </c>
    </row>
    <row r="673" spans="1:10" x14ac:dyDescent="0.35">
      <c r="A673">
        <v>672</v>
      </c>
      <c r="B673" s="6">
        <v>43772</v>
      </c>
      <c r="C673">
        <v>4</v>
      </c>
      <c r="D673">
        <v>1</v>
      </c>
      <c r="E673">
        <v>11</v>
      </c>
      <c r="F673">
        <v>0</v>
      </c>
      <c r="G673">
        <v>6</v>
      </c>
      <c r="H673">
        <v>0</v>
      </c>
      <c r="I673">
        <v>2</v>
      </c>
      <c r="J673" s="7">
        <v>14076653</v>
      </c>
    </row>
    <row r="674" spans="1:10" x14ac:dyDescent="0.35">
      <c r="A674">
        <v>673</v>
      </c>
      <c r="B674" s="6">
        <v>43773</v>
      </c>
      <c r="C674">
        <v>4</v>
      </c>
      <c r="D674">
        <v>1</v>
      </c>
      <c r="E674">
        <v>11</v>
      </c>
      <c r="F674">
        <v>0</v>
      </c>
      <c r="G674">
        <v>0</v>
      </c>
      <c r="H674">
        <v>0</v>
      </c>
      <c r="I674">
        <v>1</v>
      </c>
      <c r="J674" s="7">
        <v>13359153</v>
      </c>
    </row>
    <row r="675" spans="1:10" x14ac:dyDescent="0.35">
      <c r="A675">
        <v>674</v>
      </c>
      <c r="B675" s="6">
        <v>43774</v>
      </c>
      <c r="C675">
        <v>4</v>
      </c>
      <c r="D675">
        <v>1</v>
      </c>
      <c r="E675">
        <v>11</v>
      </c>
      <c r="F675">
        <v>0</v>
      </c>
      <c r="G675">
        <v>1</v>
      </c>
      <c r="H675">
        <v>1</v>
      </c>
      <c r="I675">
        <v>1</v>
      </c>
      <c r="J675" s="7">
        <v>13085847</v>
      </c>
    </row>
    <row r="676" spans="1:10" x14ac:dyDescent="0.35">
      <c r="A676">
        <v>675</v>
      </c>
      <c r="B676" s="6">
        <v>43775</v>
      </c>
      <c r="C676">
        <v>4</v>
      </c>
      <c r="D676">
        <v>1</v>
      </c>
      <c r="E676">
        <v>11</v>
      </c>
      <c r="F676">
        <v>0</v>
      </c>
      <c r="G676">
        <v>2</v>
      </c>
      <c r="H676">
        <v>1</v>
      </c>
      <c r="I676">
        <v>1</v>
      </c>
      <c r="J676" s="7">
        <v>11514153</v>
      </c>
    </row>
    <row r="677" spans="1:10" x14ac:dyDescent="0.35">
      <c r="A677">
        <v>676</v>
      </c>
      <c r="B677" s="6">
        <v>43776</v>
      </c>
      <c r="C677">
        <v>4</v>
      </c>
      <c r="D677">
        <v>1</v>
      </c>
      <c r="E677">
        <v>11</v>
      </c>
      <c r="F677">
        <v>0</v>
      </c>
      <c r="G677">
        <v>3</v>
      </c>
      <c r="H677">
        <v>1</v>
      </c>
      <c r="I677">
        <v>2</v>
      </c>
      <c r="J677" s="7">
        <v>12129153</v>
      </c>
    </row>
    <row r="678" spans="1:10" x14ac:dyDescent="0.35">
      <c r="A678">
        <v>677</v>
      </c>
      <c r="B678" s="6">
        <v>43777</v>
      </c>
      <c r="C678">
        <v>4</v>
      </c>
      <c r="D678">
        <v>1</v>
      </c>
      <c r="E678">
        <v>11</v>
      </c>
      <c r="F678">
        <v>0</v>
      </c>
      <c r="G678">
        <v>4</v>
      </c>
      <c r="H678">
        <v>1</v>
      </c>
      <c r="I678">
        <v>1</v>
      </c>
      <c r="J678" s="7">
        <v>14439134</v>
      </c>
    </row>
    <row r="679" spans="1:10" x14ac:dyDescent="0.35">
      <c r="A679">
        <v>678</v>
      </c>
      <c r="B679" s="6">
        <v>43778</v>
      </c>
      <c r="C679">
        <v>4</v>
      </c>
      <c r="D679">
        <v>1</v>
      </c>
      <c r="E679">
        <v>11</v>
      </c>
      <c r="F679">
        <v>0</v>
      </c>
      <c r="G679">
        <v>5</v>
      </c>
      <c r="H679">
        <v>1</v>
      </c>
      <c r="I679">
        <v>1</v>
      </c>
      <c r="J679" s="7">
        <v>14828347</v>
      </c>
    </row>
    <row r="680" spans="1:10" x14ac:dyDescent="0.35">
      <c r="A680">
        <v>679</v>
      </c>
      <c r="B680" s="6">
        <v>43779</v>
      </c>
      <c r="C680">
        <v>4</v>
      </c>
      <c r="D680">
        <v>1</v>
      </c>
      <c r="E680">
        <v>11</v>
      </c>
      <c r="F680">
        <v>0</v>
      </c>
      <c r="G680">
        <v>6</v>
      </c>
      <c r="H680">
        <v>0</v>
      </c>
      <c r="I680">
        <v>1</v>
      </c>
      <c r="J680" s="7">
        <v>15955847</v>
      </c>
    </row>
    <row r="681" spans="1:10" x14ac:dyDescent="0.35">
      <c r="A681">
        <v>680</v>
      </c>
      <c r="B681" s="6">
        <v>43780</v>
      </c>
      <c r="C681">
        <v>4</v>
      </c>
      <c r="D681">
        <v>1</v>
      </c>
      <c r="E681">
        <v>11</v>
      </c>
      <c r="F681">
        <v>0</v>
      </c>
      <c r="G681">
        <v>0</v>
      </c>
      <c r="H681">
        <v>0</v>
      </c>
      <c r="I681">
        <v>1</v>
      </c>
      <c r="J681" s="7">
        <v>17254153</v>
      </c>
    </row>
    <row r="682" spans="1:10" x14ac:dyDescent="0.35">
      <c r="A682">
        <v>681</v>
      </c>
      <c r="B682" s="6">
        <v>43781</v>
      </c>
      <c r="C682">
        <v>4</v>
      </c>
      <c r="D682">
        <v>1</v>
      </c>
      <c r="E682">
        <v>11</v>
      </c>
      <c r="F682">
        <v>1</v>
      </c>
      <c r="G682">
        <v>1</v>
      </c>
      <c r="H682">
        <v>0</v>
      </c>
      <c r="I682">
        <v>1</v>
      </c>
      <c r="J682" s="7">
        <v>19885</v>
      </c>
    </row>
    <row r="683" spans="1:10" x14ac:dyDescent="0.35">
      <c r="A683">
        <v>682</v>
      </c>
      <c r="B683" s="6">
        <v>43782</v>
      </c>
      <c r="C683">
        <v>4</v>
      </c>
      <c r="D683">
        <v>1</v>
      </c>
      <c r="E683">
        <v>11</v>
      </c>
      <c r="F683">
        <v>0</v>
      </c>
      <c r="G683">
        <v>2</v>
      </c>
      <c r="H683">
        <v>1</v>
      </c>
      <c r="I683">
        <v>2</v>
      </c>
      <c r="J683" s="7">
        <v>14076653</v>
      </c>
    </row>
    <row r="684" spans="1:10" x14ac:dyDescent="0.35">
      <c r="A684">
        <v>683</v>
      </c>
      <c r="B684" s="6">
        <v>43783</v>
      </c>
      <c r="C684">
        <v>4</v>
      </c>
      <c r="D684">
        <v>1</v>
      </c>
      <c r="E684">
        <v>11</v>
      </c>
      <c r="F684">
        <v>0</v>
      </c>
      <c r="G684">
        <v>3</v>
      </c>
      <c r="H684">
        <v>1</v>
      </c>
      <c r="I684">
        <v>1</v>
      </c>
      <c r="J684" s="7">
        <v>11855847</v>
      </c>
    </row>
    <row r="685" spans="1:10" x14ac:dyDescent="0.35">
      <c r="A685">
        <v>684</v>
      </c>
      <c r="B685" s="6">
        <v>43784</v>
      </c>
      <c r="C685">
        <v>4</v>
      </c>
      <c r="D685">
        <v>1</v>
      </c>
      <c r="E685">
        <v>11</v>
      </c>
      <c r="F685">
        <v>0</v>
      </c>
      <c r="G685">
        <v>4</v>
      </c>
      <c r="H685">
        <v>1</v>
      </c>
      <c r="I685">
        <v>2</v>
      </c>
      <c r="J685" s="7">
        <v>13188347</v>
      </c>
    </row>
    <row r="686" spans="1:10" x14ac:dyDescent="0.35">
      <c r="A686">
        <v>685</v>
      </c>
      <c r="B686" s="6">
        <v>43785</v>
      </c>
      <c r="C686">
        <v>4</v>
      </c>
      <c r="D686">
        <v>1</v>
      </c>
      <c r="E686">
        <v>11</v>
      </c>
      <c r="F686">
        <v>0</v>
      </c>
      <c r="G686">
        <v>5</v>
      </c>
      <c r="H686">
        <v>1</v>
      </c>
      <c r="I686">
        <v>1</v>
      </c>
      <c r="J686" s="7">
        <v>14145</v>
      </c>
    </row>
    <row r="687" spans="1:10" x14ac:dyDescent="0.35">
      <c r="A687">
        <v>686</v>
      </c>
      <c r="B687" s="6">
        <v>43786</v>
      </c>
      <c r="C687">
        <v>4</v>
      </c>
      <c r="D687">
        <v>1</v>
      </c>
      <c r="E687">
        <v>11</v>
      </c>
      <c r="F687">
        <v>0</v>
      </c>
      <c r="G687">
        <v>6</v>
      </c>
      <c r="H687">
        <v>0</v>
      </c>
      <c r="I687">
        <v>1</v>
      </c>
      <c r="J687" s="7">
        <v>13325</v>
      </c>
    </row>
    <row r="688" spans="1:10" x14ac:dyDescent="0.35">
      <c r="A688">
        <v>687</v>
      </c>
      <c r="B688" s="6">
        <v>43787</v>
      </c>
      <c r="C688">
        <v>4</v>
      </c>
      <c r="D688">
        <v>1</v>
      </c>
      <c r="E688">
        <v>11</v>
      </c>
      <c r="F688">
        <v>0</v>
      </c>
      <c r="G688">
        <v>0</v>
      </c>
      <c r="H688">
        <v>0</v>
      </c>
      <c r="I688">
        <v>1</v>
      </c>
      <c r="J688" s="7">
        <v>140425</v>
      </c>
    </row>
    <row r="689" spans="1:10" x14ac:dyDescent="0.35">
      <c r="A689">
        <v>688</v>
      </c>
      <c r="B689" s="6">
        <v>43788</v>
      </c>
      <c r="C689">
        <v>4</v>
      </c>
      <c r="D689">
        <v>1</v>
      </c>
      <c r="E689">
        <v>11</v>
      </c>
      <c r="F689">
        <v>0</v>
      </c>
      <c r="G689">
        <v>1</v>
      </c>
      <c r="H689">
        <v>1</v>
      </c>
      <c r="I689">
        <v>2</v>
      </c>
      <c r="J689" s="7">
        <v>15614153</v>
      </c>
    </row>
    <row r="690" spans="1:10" x14ac:dyDescent="0.35">
      <c r="A690">
        <v>689</v>
      </c>
      <c r="B690" s="6">
        <v>43789</v>
      </c>
      <c r="C690">
        <v>4</v>
      </c>
      <c r="D690">
        <v>1</v>
      </c>
      <c r="E690">
        <v>11</v>
      </c>
      <c r="F690">
        <v>0</v>
      </c>
      <c r="G690">
        <v>2</v>
      </c>
      <c r="H690">
        <v>1</v>
      </c>
      <c r="I690">
        <v>2</v>
      </c>
      <c r="J690" s="7">
        <v>15340847</v>
      </c>
    </row>
    <row r="691" spans="1:10" x14ac:dyDescent="0.35">
      <c r="A691">
        <v>690</v>
      </c>
      <c r="B691" s="6">
        <v>43790</v>
      </c>
      <c r="C691">
        <v>4</v>
      </c>
      <c r="D691">
        <v>1</v>
      </c>
      <c r="E691">
        <v>11</v>
      </c>
      <c r="F691">
        <v>0</v>
      </c>
      <c r="G691">
        <v>3</v>
      </c>
      <c r="H691">
        <v>1</v>
      </c>
      <c r="I691">
        <v>1</v>
      </c>
      <c r="J691" s="7">
        <v>14486653</v>
      </c>
    </row>
    <row r="692" spans="1:10" x14ac:dyDescent="0.35">
      <c r="A692">
        <v>691</v>
      </c>
      <c r="B692" s="6">
        <v>43791</v>
      </c>
      <c r="C692">
        <v>4</v>
      </c>
      <c r="D692">
        <v>1</v>
      </c>
      <c r="E692">
        <v>11</v>
      </c>
      <c r="F692">
        <v>1</v>
      </c>
      <c r="G692">
        <v>4</v>
      </c>
      <c r="H692">
        <v>0</v>
      </c>
      <c r="I692">
        <v>1</v>
      </c>
      <c r="J692" t="s">
        <v>77</v>
      </c>
    </row>
    <row r="693" spans="1:10" x14ac:dyDescent="0.35">
      <c r="A693">
        <v>692</v>
      </c>
      <c r="B693" s="6">
        <v>43792</v>
      </c>
      <c r="C693">
        <v>4</v>
      </c>
      <c r="D693">
        <v>1</v>
      </c>
      <c r="E693">
        <v>11</v>
      </c>
      <c r="F693">
        <v>0</v>
      </c>
      <c r="G693">
        <v>5</v>
      </c>
      <c r="H693">
        <v>1</v>
      </c>
      <c r="I693">
        <v>1</v>
      </c>
      <c r="J693" s="7">
        <v>15101653</v>
      </c>
    </row>
    <row r="694" spans="1:10" x14ac:dyDescent="0.35">
      <c r="A694">
        <v>693</v>
      </c>
      <c r="B694" s="6">
        <v>43793</v>
      </c>
      <c r="C694">
        <v>4</v>
      </c>
      <c r="D694">
        <v>1</v>
      </c>
      <c r="E694">
        <v>11</v>
      </c>
      <c r="F694">
        <v>0</v>
      </c>
      <c r="G694">
        <v>6</v>
      </c>
      <c r="H694">
        <v>0</v>
      </c>
      <c r="I694">
        <v>1</v>
      </c>
      <c r="J694" s="7">
        <v>11411653</v>
      </c>
    </row>
    <row r="695" spans="1:10" x14ac:dyDescent="0.35">
      <c r="A695">
        <v>694</v>
      </c>
      <c r="B695" s="6">
        <v>43794</v>
      </c>
      <c r="C695">
        <v>4</v>
      </c>
      <c r="D695">
        <v>1</v>
      </c>
      <c r="E695">
        <v>11</v>
      </c>
      <c r="F695">
        <v>0</v>
      </c>
      <c r="G695">
        <v>0</v>
      </c>
      <c r="H695">
        <v>0</v>
      </c>
      <c r="I695">
        <v>1</v>
      </c>
      <c r="J695" s="7">
        <v>10079153</v>
      </c>
    </row>
    <row r="696" spans="1:10" x14ac:dyDescent="0.35">
      <c r="A696">
        <v>695</v>
      </c>
      <c r="B696" s="6">
        <v>43795</v>
      </c>
      <c r="C696">
        <v>4</v>
      </c>
      <c r="D696">
        <v>1</v>
      </c>
      <c r="E696">
        <v>11</v>
      </c>
      <c r="F696">
        <v>0</v>
      </c>
      <c r="G696">
        <v>1</v>
      </c>
      <c r="H696">
        <v>1</v>
      </c>
      <c r="I696">
        <v>1</v>
      </c>
      <c r="J696" s="7">
        <v>12846653</v>
      </c>
    </row>
    <row r="697" spans="1:10" x14ac:dyDescent="0.35">
      <c r="A697">
        <v>696</v>
      </c>
      <c r="B697" s="6">
        <v>43796</v>
      </c>
      <c r="C697">
        <v>4</v>
      </c>
      <c r="D697">
        <v>1</v>
      </c>
      <c r="E697">
        <v>11</v>
      </c>
      <c r="F697">
        <v>0</v>
      </c>
      <c r="G697">
        <v>2</v>
      </c>
      <c r="H697">
        <v>1</v>
      </c>
      <c r="I697">
        <v>2</v>
      </c>
      <c r="J697" s="7">
        <v>11958347</v>
      </c>
    </row>
    <row r="698" spans="1:10" x14ac:dyDescent="0.35">
      <c r="A698">
        <v>697</v>
      </c>
      <c r="B698" s="6">
        <v>43797</v>
      </c>
      <c r="C698">
        <v>4</v>
      </c>
      <c r="D698">
        <v>1</v>
      </c>
      <c r="E698">
        <v>11</v>
      </c>
      <c r="F698">
        <v>0</v>
      </c>
      <c r="G698">
        <v>3</v>
      </c>
      <c r="H698">
        <v>1</v>
      </c>
      <c r="I698">
        <v>1</v>
      </c>
      <c r="J698" s="7">
        <v>12163347</v>
      </c>
    </row>
    <row r="699" spans="1:10" x14ac:dyDescent="0.35">
      <c r="A699">
        <v>698</v>
      </c>
      <c r="B699" s="6">
        <v>43798</v>
      </c>
      <c r="C699">
        <v>4</v>
      </c>
      <c r="D699">
        <v>1</v>
      </c>
      <c r="E699">
        <v>11</v>
      </c>
      <c r="F699">
        <v>0</v>
      </c>
      <c r="G699">
        <v>4</v>
      </c>
      <c r="H699">
        <v>1</v>
      </c>
      <c r="I699">
        <v>1</v>
      </c>
      <c r="J699" s="7">
        <v>1151567</v>
      </c>
    </row>
    <row r="700" spans="1:10" x14ac:dyDescent="0.35">
      <c r="A700">
        <v>699</v>
      </c>
      <c r="B700" s="6">
        <v>43799</v>
      </c>
      <c r="C700">
        <v>4</v>
      </c>
      <c r="D700">
        <v>1</v>
      </c>
      <c r="E700">
        <v>11</v>
      </c>
      <c r="F700">
        <v>0</v>
      </c>
      <c r="G700">
        <v>5</v>
      </c>
      <c r="H700">
        <v>1</v>
      </c>
      <c r="I700">
        <v>1</v>
      </c>
      <c r="J700" s="7">
        <v>12231653</v>
      </c>
    </row>
    <row r="701" spans="1:10" x14ac:dyDescent="0.35">
      <c r="A701">
        <v>700</v>
      </c>
      <c r="B701" s="6">
        <v>43800</v>
      </c>
      <c r="C701">
        <v>4</v>
      </c>
      <c r="D701">
        <v>1</v>
      </c>
      <c r="E701">
        <v>12</v>
      </c>
      <c r="F701">
        <v>0</v>
      </c>
      <c r="G701">
        <v>6</v>
      </c>
      <c r="H701">
        <v>0</v>
      </c>
      <c r="I701">
        <v>2</v>
      </c>
      <c r="J701" s="7">
        <v>12231653</v>
      </c>
    </row>
    <row r="702" spans="1:10" x14ac:dyDescent="0.35">
      <c r="A702">
        <v>701</v>
      </c>
      <c r="B702" s="6">
        <v>43801</v>
      </c>
      <c r="C702">
        <v>4</v>
      </c>
      <c r="D702">
        <v>1</v>
      </c>
      <c r="E702">
        <v>12</v>
      </c>
      <c r="F702">
        <v>0</v>
      </c>
      <c r="G702">
        <v>0</v>
      </c>
      <c r="H702">
        <v>0</v>
      </c>
      <c r="I702">
        <v>2</v>
      </c>
      <c r="J702" s="7">
        <v>142475</v>
      </c>
    </row>
    <row r="703" spans="1:10" x14ac:dyDescent="0.35">
      <c r="A703">
        <v>702</v>
      </c>
      <c r="B703" s="6">
        <v>43802</v>
      </c>
      <c r="C703">
        <v>4</v>
      </c>
      <c r="D703">
        <v>1</v>
      </c>
      <c r="E703">
        <v>12</v>
      </c>
      <c r="F703">
        <v>0</v>
      </c>
      <c r="G703">
        <v>1</v>
      </c>
      <c r="H703">
        <v>1</v>
      </c>
      <c r="I703">
        <v>1</v>
      </c>
      <c r="J703" s="7">
        <v>185525</v>
      </c>
    </row>
    <row r="704" spans="1:10" x14ac:dyDescent="0.35">
      <c r="A704">
        <v>703</v>
      </c>
      <c r="B704" s="6">
        <v>43803</v>
      </c>
      <c r="C704">
        <v>4</v>
      </c>
      <c r="D704">
        <v>1</v>
      </c>
      <c r="E704">
        <v>12</v>
      </c>
      <c r="F704">
        <v>0</v>
      </c>
      <c r="G704">
        <v>2</v>
      </c>
      <c r="H704">
        <v>1</v>
      </c>
      <c r="I704">
        <v>1</v>
      </c>
      <c r="J704" s="7">
        <v>19509153</v>
      </c>
    </row>
    <row r="705" spans="1:10" x14ac:dyDescent="0.35">
      <c r="A705">
        <v>704</v>
      </c>
      <c r="B705" s="6">
        <v>43804</v>
      </c>
      <c r="C705">
        <v>4</v>
      </c>
      <c r="D705">
        <v>1</v>
      </c>
      <c r="E705">
        <v>12</v>
      </c>
      <c r="F705">
        <v>0</v>
      </c>
      <c r="G705">
        <v>3</v>
      </c>
      <c r="H705">
        <v>1</v>
      </c>
      <c r="I705">
        <v>1</v>
      </c>
      <c r="J705" s="7">
        <v>17971653</v>
      </c>
    </row>
    <row r="706" spans="1:10" x14ac:dyDescent="0.35">
      <c r="A706">
        <v>705</v>
      </c>
      <c r="B706" s="6">
        <v>43805</v>
      </c>
      <c r="C706">
        <v>4</v>
      </c>
      <c r="D706">
        <v>1</v>
      </c>
      <c r="E706">
        <v>12</v>
      </c>
      <c r="F706">
        <v>0</v>
      </c>
      <c r="G706">
        <v>4</v>
      </c>
      <c r="H706">
        <v>1</v>
      </c>
      <c r="I706">
        <v>1</v>
      </c>
      <c r="J706" s="7">
        <v>10489153</v>
      </c>
    </row>
    <row r="707" spans="1:10" x14ac:dyDescent="0.35">
      <c r="A707">
        <v>706</v>
      </c>
      <c r="B707" s="6">
        <v>43806</v>
      </c>
      <c r="C707">
        <v>4</v>
      </c>
      <c r="D707">
        <v>1</v>
      </c>
      <c r="E707">
        <v>12</v>
      </c>
      <c r="F707">
        <v>0</v>
      </c>
      <c r="G707">
        <v>5</v>
      </c>
      <c r="H707">
        <v>1</v>
      </c>
      <c r="I707">
        <v>2</v>
      </c>
      <c r="J707" s="7">
        <v>13154153</v>
      </c>
    </row>
    <row r="708" spans="1:10" x14ac:dyDescent="0.35">
      <c r="A708">
        <v>707</v>
      </c>
      <c r="B708" s="6">
        <v>43807</v>
      </c>
      <c r="C708">
        <v>4</v>
      </c>
      <c r="D708">
        <v>1</v>
      </c>
      <c r="E708">
        <v>12</v>
      </c>
      <c r="F708">
        <v>0</v>
      </c>
      <c r="G708">
        <v>6</v>
      </c>
      <c r="H708">
        <v>0</v>
      </c>
      <c r="I708">
        <v>2</v>
      </c>
      <c r="J708" s="7">
        <v>15648347</v>
      </c>
    </row>
    <row r="709" spans="1:10" x14ac:dyDescent="0.35">
      <c r="A709">
        <v>708</v>
      </c>
      <c r="B709" s="6">
        <v>43808</v>
      </c>
      <c r="C709">
        <v>4</v>
      </c>
      <c r="D709">
        <v>1</v>
      </c>
      <c r="E709">
        <v>12</v>
      </c>
      <c r="F709">
        <v>0</v>
      </c>
      <c r="G709">
        <v>0</v>
      </c>
      <c r="H709">
        <v>0</v>
      </c>
      <c r="I709">
        <v>2</v>
      </c>
      <c r="J709" s="7">
        <v>15750847</v>
      </c>
    </row>
    <row r="710" spans="1:10" x14ac:dyDescent="0.35">
      <c r="A710">
        <v>709</v>
      </c>
      <c r="B710" s="6">
        <v>43809</v>
      </c>
      <c r="C710">
        <v>4</v>
      </c>
      <c r="D710">
        <v>1</v>
      </c>
      <c r="E710">
        <v>12</v>
      </c>
      <c r="F710">
        <v>0</v>
      </c>
      <c r="G710">
        <v>1</v>
      </c>
      <c r="H710">
        <v>1</v>
      </c>
      <c r="I710">
        <v>2</v>
      </c>
      <c r="J710" s="7">
        <v>17869153</v>
      </c>
    </row>
    <row r="711" spans="1:10" x14ac:dyDescent="0.35">
      <c r="A711">
        <v>710</v>
      </c>
      <c r="B711" s="6">
        <v>43810</v>
      </c>
      <c r="C711">
        <v>4</v>
      </c>
      <c r="D711">
        <v>1</v>
      </c>
      <c r="E711">
        <v>12</v>
      </c>
      <c r="F711">
        <v>0</v>
      </c>
      <c r="G711">
        <v>2</v>
      </c>
      <c r="H711">
        <v>1</v>
      </c>
      <c r="I711">
        <v>2</v>
      </c>
      <c r="J711" s="7">
        <v>14486653</v>
      </c>
    </row>
    <row r="712" spans="1:10" x14ac:dyDescent="0.35">
      <c r="A712">
        <v>711</v>
      </c>
      <c r="B712" s="6">
        <v>43811</v>
      </c>
      <c r="C712">
        <v>4</v>
      </c>
      <c r="D712">
        <v>1</v>
      </c>
      <c r="E712">
        <v>12</v>
      </c>
      <c r="F712">
        <v>0</v>
      </c>
      <c r="G712">
        <v>3</v>
      </c>
      <c r="H712">
        <v>1</v>
      </c>
      <c r="I712">
        <v>2</v>
      </c>
      <c r="J712" s="7">
        <v>121975</v>
      </c>
    </row>
    <row r="713" spans="1:10" x14ac:dyDescent="0.35">
      <c r="A713">
        <v>712</v>
      </c>
      <c r="B713" s="6">
        <v>43812</v>
      </c>
      <c r="C713">
        <v>4</v>
      </c>
      <c r="D713">
        <v>1</v>
      </c>
      <c r="E713">
        <v>12</v>
      </c>
      <c r="F713">
        <v>0</v>
      </c>
      <c r="G713">
        <v>4</v>
      </c>
      <c r="H713">
        <v>1</v>
      </c>
      <c r="I713">
        <v>1</v>
      </c>
      <c r="J713" s="7">
        <v>12129153</v>
      </c>
    </row>
    <row r="714" spans="1:10" x14ac:dyDescent="0.35">
      <c r="A714">
        <v>713</v>
      </c>
      <c r="B714" s="6">
        <v>43813</v>
      </c>
      <c r="C714">
        <v>4</v>
      </c>
      <c r="D714">
        <v>1</v>
      </c>
      <c r="E714">
        <v>12</v>
      </c>
      <c r="F714">
        <v>0</v>
      </c>
      <c r="G714">
        <v>5</v>
      </c>
      <c r="H714">
        <v>1</v>
      </c>
      <c r="I714">
        <v>1</v>
      </c>
      <c r="J714" s="7">
        <v>11548347</v>
      </c>
    </row>
    <row r="715" spans="1:10" x14ac:dyDescent="0.35">
      <c r="A715">
        <v>714</v>
      </c>
      <c r="B715" s="6">
        <v>43814</v>
      </c>
      <c r="C715">
        <v>4</v>
      </c>
      <c r="D715">
        <v>1</v>
      </c>
      <c r="E715">
        <v>12</v>
      </c>
      <c r="F715">
        <v>0</v>
      </c>
      <c r="G715">
        <v>6</v>
      </c>
      <c r="H715">
        <v>0</v>
      </c>
      <c r="I715">
        <v>1</v>
      </c>
      <c r="J715" s="7">
        <v>13290847</v>
      </c>
    </row>
    <row r="716" spans="1:10" x14ac:dyDescent="0.35">
      <c r="A716">
        <v>715</v>
      </c>
      <c r="B716" s="6">
        <v>43815</v>
      </c>
      <c r="C716">
        <v>4</v>
      </c>
      <c r="D716">
        <v>1</v>
      </c>
      <c r="E716">
        <v>12</v>
      </c>
      <c r="F716">
        <v>0</v>
      </c>
      <c r="G716">
        <v>0</v>
      </c>
      <c r="H716">
        <v>0</v>
      </c>
      <c r="I716">
        <v>2</v>
      </c>
      <c r="J716" s="7">
        <v>148625</v>
      </c>
    </row>
    <row r="717" spans="1:10" x14ac:dyDescent="0.35">
      <c r="A717">
        <v>716</v>
      </c>
      <c r="B717" s="6">
        <v>43816</v>
      </c>
      <c r="C717">
        <v>4</v>
      </c>
      <c r="D717">
        <v>1</v>
      </c>
      <c r="E717">
        <v>12</v>
      </c>
      <c r="F717">
        <v>0</v>
      </c>
      <c r="G717">
        <v>1</v>
      </c>
      <c r="H717">
        <v>1</v>
      </c>
      <c r="I717">
        <v>2</v>
      </c>
      <c r="J717" s="7">
        <v>16126653</v>
      </c>
    </row>
    <row r="718" spans="1:10" x14ac:dyDescent="0.35">
      <c r="A718">
        <v>717</v>
      </c>
      <c r="B718" s="6">
        <v>43817</v>
      </c>
      <c r="C718">
        <v>4</v>
      </c>
      <c r="D718">
        <v>1</v>
      </c>
      <c r="E718">
        <v>12</v>
      </c>
      <c r="F718">
        <v>0</v>
      </c>
      <c r="G718">
        <v>2</v>
      </c>
      <c r="H718">
        <v>1</v>
      </c>
      <c r="I718">
        <v>1</v>
      </c>
      <c r="J718" s="7">
        <v>16844153</v>
      </c>
    </row>
    <row r="719" spans="1:10" x14ac:dyDescent="0.35">
      <c r="A719">
        <v>718</v>
      </c>
      <c r="B719" s="6">
        <v>43818</v>
      </c>
      <c r="C719">
        <v>4</v>
      </c>
      <c r="D719">
        <v>1</v>
      </c>
      <c r="E719">
        <v>12</v>
      </c>
      <c r="F719">
        <v>0</v>
      </c>
      <c r="G719">
        <v>3</v>
      </c>
      <c r="H719">
        <v>1</v>
      </c>
      <c r="I719">
        <v>1</v>
      </c>
      <c r="J719" s="7">
        <v>136325</v>
      </c>
    </row>
    <row r="720" spans="1:10" x14ac:dyDescent="0.35">
      <c r="A720">
        <v>719</v>
      </c>
      <c r="B720" s="6">
        <v>43819</v>
      </c>
      <c r="C720">
        <v>4</v>
      </c>
      <c r="D720">
        <v>1</v>
      </c>
      <c r="E720">
        <v>12</v>
      </c>
      <c r="F720">
        <v>0</v>
      </c>
      <c r="G720">
        <v>4</v>
      </c>
      <c r="H720">
        <v>1</v>
      </c>
      <c r="I720">
        <v>2</v>
      </c>
      <c r="J720" t="s">
        <v>96</v>
      </c>
    </row>
    <row r="721" spans="1:10" x14ac:dyDescent="0.35">
      <c r="A721">
        <v>720</v>
      </c>
      <c r="B721" s="6">
        <v>43820</v>
      </c>
      <c r="C721">
        <v>1</v>
      </c>
      <c r="D721">
        <v>1</v>
      </c>
      <c r="E721">
        <v>12</v>
      </c>
      <c r="F721">
        <v>0</v>
      </c>
      <c r="G721">
        <v>5</v>
      </c>
      <c r="H721">
        <v>1</v>
      </c>
      <c r="I721">
        <v>2</v>
      </c>
      <c r="J721" s="7">
        <v>13393347</v>
      </c>
    </row>
    <row r="722" spans="1:10" x14ac:dyDescent="0.35">
      <c r="A722">
        <v>721</v>
      </c>
      <c r="B722" s="6">
        <v>43821</v>
      </c>
      <c r="C722">
        <v>1</v>
      </c>
      <c r="D722">
        <v>1</v>
      </c>
      <c r="E722">
        <v>12</v>
      </c>
      <c r="F722">
        <v>0</v>
      </c>
      <c r="G722">
        <v>6</v>
      </c>
      <c r="H722">
        <v>0</v>
      </c>
      <c r="I722">
        <v>1</v>
      </c>
      <c r="J722" s="7">
        <v>10899153</v>
      </c>
    </row>
    <row r="723" spans="1:10" x14ac:dyDescent="0.35">
      <c r="A723">
        <v>722</v>
      </c>
      <c r="B723" s="6">
        <v>43822</v>
      </c>
      <c r="C723">
        <v>1</v>
      </c>
      <c r="D723">
        <v>1</v>
      </c>
      <c r="E723">
        <v>12</v>
      </c>
      <c r="F723">
        <v>0</v>
      </c>
      <c r="G723">
        <v>0</v>
      </c>
      <c r="H723">
        <v>0</v>
      </c>
      <c r="I723">
        <v>1</v>
      </c>
      <c r="J723" s="7">
        <v>10079153</v>
      </c>
    </row>
    <row r="724" spans="1:10" x14ac:dyDescent="0.35">
      <c r="A724">
        <v>723</v>
      </c>
      <c r="B724" s="6">
        <v>43823</v>
      </c>
      <c r="C724">
        <v>1</v>
      </c>
      <c r="D724">
        <v>1</v>
      </c>
      <c r="E724">
        <v>12</v>
      </c>
      <c r="F724">
        <v>0</v>
      </c>
      <c r="G724">
        <v>1</v>
      </c>
      <c r="H724">
        <v>1</v>
      </c>
      <c r="I724">
        <v>2</v>
      </c>
      <c r="J724" s="7">
        <v>9483464</v>
      </c>
    </row>
    <row r="725" spans="1:10" x14ac:dyDescent="0.35">
      <c r="A725">
        <v>724</v>
      </c>
      <c r="B725" s="6">
        <v>43824</v>
      </c>
      <c r="C725">
        <v>1</v>
      </c>
      <c r="D725">
        <v>1</v>
      </c>
      <c r="E725">
        <v>12</v>
      </c>
      <c r="F725">
        <v>1</v>
      </c>
      <c r="G725">
        <v>2</v>
      </c>
      <c r="H725">
        <v>0</v>
      </c>
      <c r="I725">
        <v>2</v>
      </c>
      <c r="J725" s="7">
        <v>11943464</v>
      </c>
    </row>
    <row r="726" spans="1:10" x14ac:dyDescent="0.35">
      <c r="A726">
        <v>725</v>
      </c>
      <c r="B726" s="6">
        <v>43825</v>
      </c>
      <c r="C726">
        <v>1</v>
      </c>
      <c r="D726">
        <v>1</v>
      </c>
      <c r="E726">
        <v>12</v>
      </c>
      <c r="F726">
        <v>0</v>
      </c>
      <c r="G726">
        <v>3</v>
      </c>
      <c r="H726">
        <v>1</v>
      </c>
      <c r="I726">
        <v>3</v>
      </c>
      <c r="J726" s="7">
        <v>9976653</v>
      </c>
    </row>
    <row r="727" spans="1:10" x14ac:dyDescent="0.35">
      <c r="A727">
        <v>726</v>
      </c>
      <c r="B727" s="6">
        <v>43826</v>
      </c>
      <c r="C727">
        <v>1</v>
      </c>
      <c r="D727">
        <v>1</v>
      </c>
      <c r="E727">
        <v>12</v>
      </c>
      <c r="F727">
        <v>0</v>
      </c>
      <c r="G727">
        <v>4</v>
      </c>
      <c r="H727">
        <v>1</v>
      </c>
      <c r="I727">
        <v>2</v>
      </c>
      <c r="J727" s="7">
        <v>10420847</v>
      </c>
    </row>
    <row r="728" spans="1:10" x14ac:dyDescent="0.35">
      <c r="A728">
        <v>727</v>
      </c>
      <c r="B728" s="6">
        <v>43827</v>
      </c>
      <c r="C728">
        <v>1</v>
      </c>
      <c r="D728">
        <v>1</v>
      </c>
      <c r="E728">
        <v>12</v>
      </c>
      <c r="F728">
        <v>0</v>
      </c>
      <c r="G728">
        <v>5</v>
      </c>
      <c r="H728">
        <v>1</v>
      </c>
      <c r="I728">
        <v>2</v>
      </c>
      <c r="J728" s="7">
        <v>10386653</v>
      </c>
    </row>
    <row r="729" spans="1:10" x14ac:dyDescent="0.35">
      <c r="A729">
        <v>728</v>
      </c>
      <c r="B729" s="6">
        <v>43828</v>
      </c>
      <c r="C729">
        <v>1</v>
      </c>
      <c r="D729">
        <v>1</v>
      </c>
      <c r="E729">
        <v>12</v>
      </c>
      <c r="F729">
        <v>0</v>
      </c>
      <c r="G729">
        <v>6</v>
      </c>
      <c r="H729">
        <v>0</v>
      </c>
      <c r="I729">
        <v>2</v>
      </c>
      <c r="J729" s="7">
        <v>10386653</v>
      </c>
    </row>
    <row r="730" spans="1:10" x14ac:dyDescent="0.35">
      <c r="A730">
        <v>729</v>
      </c>
      <c r="B730" s="6">
        <v>43829</v>
      </c>
      <c r="C730">
        <v>1</v>
      </c>
      <c r="D730">
        <v>1</v>
      </c>
      <c r="E730">
        <v>12</v>
      </c>
      <c r="F730">
        <v>0</v>
      </c>
      <c r="G730">
        <v>0</v>
      </c>
      <c r="H730">
        <v>0</v>
      </c>
      <c r="I730">
        <v>1</v>
      </c>
      <c r="J730" s="7">
        <v>10489153</v>
      </c>
    </row>
    <row r="731" spans="1:10" x14ac:dyDescent="0.35">
      <c r="A731">
        <v>730</v>
      </c>
      <c r="B731" s="6">
        <v>43830</v>
      </c>
      <c r="C731">
        <v>1</v>
      </c>
      <c r="D731">
        <v>1</v>
      </c>
      <c r="E731">
        <v>12</v>
      </c>
      <c r="F731">
        <v>0</v>
      </c>
      <c r="G731">
        <v>1</v>
      </c>
      <c r="H731">
        <v>1</v>
      </c>
      <c r="I731">
        <v>2</v>
      </c>
      <c r="J731" s="7">
        <v>8849153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="60" workbookViewId="0">
      <selection activeCell="B4" sqref="B4"/>
    </sheetView>
  </sheetViews>
  <sheetFormatPr baseColWidth="10" defaultColWidth="8.7265625" defaultRowHeight="14.5" x14ac:dyDescent="0.35"/>
  <cols>
    <col min="1" max="1" width="44.453125" bestFit="1" customWidth="1"/>
    <col min="2" max="2" width="16.1796875" bestFit="1" customWidth="1"/>
    <col min="3" max="3" width="11" customWidth="1"/>
  </cols>
  <sheetData>
    <row r="1" spans="1:3" ht="18.5" x14ac:dyDescent="0.45">
      <c r="A1" s="1" t="s">
        <v>26</v>
      </c>
    </row>
    <row r="3" spans="1:3" x14ac:dyDescent="0.35">
      <c r="A3" s="3" t="s">
        <v>27</v>
      </c>
      <c r="B3" s="3" t="s">
        <v>28</v>
      </c>
      <c r="C3" s="3" t="s">
        <v>29</v>
      </c>
    </row>
    <row r="4" spans="1:3" x14ac:dyDescent="0.35">
      <c r="A4" s="4" t="s">
        <v>30</v>
      </c>
      <c r="B4" s="4">
        <f>COUNTBLANK(Datos!$A$1:$J$731)</f>
        <v>0</v>
      </c>
      <c r="C4" s="4" t="str">
        <f>IF(B4=0, "ÓPTIMO", "REVISAR")</f>
        <v>ÓPTIMO</v>
      </c>
    </row>
    <row r="5" spans="1:3" x14ac:dyDescent="0.35">
      <c r="A5" s="4" t="s">
        <v>31</v>
      </c>
      <c r="B5" s="4" cm="1">
        <f t="array" ref="B5">SUMPRODUCT(--(LEN(Datos!$A$1:$J$731)&lt;&gt;LEN(TRIM(Datos!$A$1:$J$731))))</f>
        <v>0</v>
      </c>
      <c r="C5" s="5" t="str">
        <f>IF(B5=0, "ÓPTIMO", "REVISAR")</f>
        <v>ÓPTIMO</v>
      </c>
    </row>
    <row r="6" spans="1:3" x14ac:dyDescent="0.35">
      <c r="A6" s="4" t="s">
        <v>32</v>
      </c>
      <c r="B6" s="4" cm="1">
        <f t="array" ref="B6">SUMPRODUCT(--(COUNTIFS(Datos!$A$1:$A$731, Datos!$A$1:$A$731, Datos!$B$1:$B$731, Datos!$B$1:$B$731, Datos!$C$1:$C$731, Datos!$C$1:$C$731, Datos!$D$1:$D$731, Datos!$D$1:$D$731, Datos!$E$1:$E$731, Datos!$E$1:$E$731, Datos!$F$1:$F$731, Datos!$F$1:$F$731, Datos!$G$1:$G$731, Datos!$G$1:$G$731, Datos!$H$1:$H$731, Datos!$H$1:$H$731, Datos!$I$1:$I$731, Datos!$I$1:$I$731, Datos!$J$1:$J$731, Datos!$J$1:$J$731) &gt; 1))</f>
        <v>0</v>
      </c>
      <c r="C6" s="5" t="str">
        <f>IF(B6=0, "ÓPTIMO", "REVISAR")</f>
        <v>ÓPTIMO</v>
      </c>
    </row>
    <row r="7" spans="1:3" x14ac:dyDescent="0.35">
      <c r="A7" s="4" t="s">
        <v>33</v>
      </c>
      <c r="B7" s="4">
        <f>COUNTA(Datos!$A$1:$A$732)</f>
        <v>731</v>
      </c>
      <c r="C7" s="5" t="str">
        <f>IF(B7&gt;0, "VERIFICADO", "SIN DATOS")</f>
        <v>VERIFICADO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9"/>
  <sheetViews>
    <sheetView topLeftCell="A10" zoomScale="63" workbookViewId="0">
      <selection activeCell="J35" sqref="J35"/>
    </sheetView>
  </sheetViews>
  <sheetFormatPr baseColWidth="10" defaultColWidth="8.7265625" defaultRowHeight="14.5" x14ac:dyDescent="0.35"/>
  <cols>
    <col min="1" max="1" width="18.08984375" bestFit="1" customWidth="1"/>
    <col min="2" max="2" width="16.26953125" bestFit="1" customWidth="1"/>
  </cols>
  <sheetData>
    <row r="1" spans="1:2" ht="18.5" x14ac:dyDescent="0.45">
      <c r="A1" s="1" t="s">
        <v>34</v>
      </c>
    </row>
    <row r="3" spans="1:2" x14ac:dyDescent="0.35">
      <c r="A3" s="3" t="s">
        <v>35</v>
      </c>
      <c r="B3" s="3" t="s">
        <v>28</v>
      </c>
    </row>
    <row r="4" spans="1:2" x14ac:dyDescent="0.35">
      <c r="A4" t="s">
        <v>36</v>
      </c>
      <c r="B4">
        <f>COUNTA(Datos!$A$1:$A$732)</f>
        <v>731</v>
      </c>
    </row>
    <row r="5" spans="1:2" x14ac:dyDescent="0.35">
      <c r="A5" t="s">
        <v>37</v>
      </c>
      <c r="B5">
        <f>AVERAGE(Datos!$A$1:$A$732)</f>
        <v>365.5</v>
      </c>
    </row>
    <row r="6" spans="1:2" x14ac:dyDescent="0.35">
      <c r="A6" t="s">
        <v>38</v>
      </c>
      <c r="B6">
        <f>MIN(Datos!$A$1:$A$732)</f>
        <v>1</v>
      </c>
    </row>
    <row r="7" spans="1:2" x14ac:dyDescent="0.35">
      <c r="A7" t="s">
        <v>39</v>
      </c>
      <c r="B7">
        <f>MAX(Datos!$A$1:$A$732)</f>
        <v>730</v>
      </c>
    </row>
    <row r="8" spans="1:2" x14ac:dyDescent="0.35">
      <c r="A8" t="s">
        <v>40</v>
      </c>
      <c r="B8">
        <f>MEDIAN(Datos!$A$1:$A$732)</f>
        <v>365.5</v>
      </c>
    </row>
    <row r="12" spans="1:2" x14ac:dyDescent="0.35">
      <c r="A12" s="8" t="s">
        <v>41</v>
      </c>
      <c r="B12" t="s">
        <v>42</v>
      </c>
    </row>
    <row r="13" spans="1:2" x14ac:dyDescent="0.35">
      <c r="A13" s="9" t="s">
        <v>43</v>
      </c>
      <c r="B13" s="10">
        <v>365</v>
      </c>
    </row>
    <row r="14" spans="1:2" x14ac:dyDescent="0.35">
      <c r="A14" s="11">
        <v>1</v>
      </c>
      <c r="B14" s="10">
        <v>31</v>
      </c>
    </row>
    <row r="15" spans="1:2" x14ac:dyDescent="0.35">
      <c r="A15" s="11">
        <v>2</v>
      </c>
      <c r="B15" s="10">
        <v>28</v>
      </c>
    </row>
    <row r="16" spans="1:2" x14ac:dyDescent="0.35">
      <c r="A16" s="11">
        <v>3</v>
      </c>
      <c r="B16" s="10">
        <v>31</v>
      </c>
    </row>
    <row r="17" spans="1:2" x14ac:dyDescent="0.35">
      <c r="A17" s="11">
        <v>4</v>
      </c>
      <c r="B17" s="10">
        <v>30</v>
      </c>
    </row>
    <row r="18" spans="1:2" x14ac:dyDescent="0.35">
      <c r="A18" s="11">
        <v>5</v>
      </c>
      <c r="B18" s="10">
        <v>31</v>
      </c>
    </row>
    <row r="19" spans="1:2" x14ac:dyDescent="0.35">
      <c r="A19" s="11">
        <v>6</v>
      </c>
      <c r="B19" s="10">
        <v>30</v>
      </c>
    </row>
    <row r="20" spans="1:2" x14ac:dyDescent="0.35">
      <c r="A20" s="11">
        <v>7</v>
      </c>
      <c r="B20" s="10">
        <v>31</v>
      </c>
    </row>
    <row r="21" spans="1:2" x14ac:dyDescent="0.35">
      <c r="A21" s="11">
        <v>8</v>
      </c>
      <c r="B21" s="10">
        <v>31</v>
      </c>
    </row>
    <row r="22" spans="1:2" x14ac:dyDescent="0.35">
      <c r="A22" s="11">
        <v>9</v>
      </c>
      <c r="B22" s="10">
        <v>30</v>
      </c>
    </row>
    <row r="23" spans="1:2" x14ac:dyDescent="0.35">
      <c r="A23" s="11">
        <v>10</v>
      </c>
      <c r="B23" s="10">
        <v>31</v>
      </c>
    </row>
    <row r="24" spans="1:2" x14ac:dyDescent="0.35">
      <c r="A24" s="11">
        <v>11</v>
      </c>
      <c r="B24" s="10">
        <v>30</v>
      </c>
    </row>
    <row r="25" spans="1:2" x14ac:dyDescent="0.35">
      <c r="A25" s="11">
        <v>12</v>
      </c>
      <c r="B25" s="10">
        <v>31</v>
      </c>
    </row>
    <row r="26" spans="1:2" x14ac:dyDescent="0.35">
      <c r="A26" s="9" t="s">
        <v>44</v>
      </c>
      <c r="B26" s="10">
        <v>365</v>
      </c>
    </row>
    <row r="27" spans="1:2" x14ac:dyDescent="0.35">
      <c r="A27" s="11">
        <v>1</v>
      </c>
      <c r="B27" s="10">
        <v>31</v>
      </c>
    </row>
    <row r="28" spans="1:2" x14ac:dyDescent="0.35">
      <c r="A28" s="11">
        <v>2</v>
      </c>
      <c r="B28" s="10">
        <v>28</v>
      </c>
    </row>
    <row r="29" spans="1:2" x14ac:dyDescent="0.35">
      <c r="A29" s="11">
        <v>3</v>
      </c>
      <c r="B29" s="10">
        <v>31</v>
      </c>
    </row>
    <row r="30" spans="1:2" x14ac:dyDescent="0.35">
      <c r="A30" s="11">
        <v>4</v>
      </c>
      <c r="B30" s="10">
        <v>30</v>
      </c>
    </row>
    <row r="31" spans="1:2" x14ac:dyDescent="0.35">
      <c r="A31" s="11">
        <v>5</v>
      </c>
      <c r="B31" s="10">
        <v>31</v>
      </c>
    </row>
    <row r="32" spans="1:2" x14ac:dyDescent="0.35">
      <c r="A32" s="11">
        <v>6</v>
      </c>
      <c r="B32" s="10">
        <v>30</v>
      </c>
    </row>
    <row r="33" spans="1:2" x14ac:dyDescent="0.35">
      <c r="A33" s="11">
        <v>7</v>
      </c>
      <c r="B33" s="10">
        <v>31</v>
      </c>
    </row>
    <row r="34" spans="1:2" x14ac:dyDescent="0.35">
      <c r="A34" s="11">
        <v>8</v>
      </c>
      <c r="B34" s="10">
        <v>31</v>
      </c>
    </row>
    <row r="35" spans="1:2" x14ac:dyDescent="0.35">
      <c r="A35" s="11">
        <v>9</v>
      </c>
      <c r="B35" s="10">
        <v>30</v>
      </c>
    </row>
    <row r="36" spans="1:2" x14ac:dyDescent="0.35">
      <c r="A36" s="11">
        <v>10</v>
      </c>
      <c r="B36" s="10">
        <v>31</v>
      </c>
    </row>
    <row r="37" spans="1:2" x14ac:dyDescent="0.35">
      <c r="A37" s="11">
        <v>11</v>
      </c>
      <c r="B37" s="10">
        <v>30</v>
      </c>
    </row>
    <row r="38" spans="1:2" x14ac:dyDescent="0.35">
      <c r="A38" s="11">
        <v>12</v>
      </c>
      <c r="B38" s="10">
        <v>31</v>
      </c>
    </row>
    <row r="39" spans="1:2" x14ac:dyDescent="0.35">
      <c r="A39" s="9" t="s">
        <v>45</v>
      </c>
      <c r="B39" s="10">
        <v>730</v>
      </c>
    </row>
  </sheetData>
  <pageMargins left="0.75" right="0.75" top="1" bottom="1" header="0.5" footer="0.5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zoomScale="43" workbookViewId="0">
      <selection activeCell="A25" sqref="A25"/>
    </sheetView>
  </sheetViews>
  <sheetFormatPr baseColWidth="10" defaultColWidth="8.7265625" defaultRowHeight="14.5" x14ac:dyDescent="0.35"/>
  <cols>
    <col min="1" max="1" width="59.90625" bestFit="1" customWidth="1"/>
    <col min="2" max="2" width="15.7265625" bestFit="1" customWidth="1"/>
  </cols>
  <sheetData>
    <row r="1" spans="1:2" ht="18.5" x14ac:dyDescent="0.45">
      <c r="A1" s="1" t="s">
        <v>46</v>
      </c>
    </row>
    <row r="3" spans="1:2" x14ac:dyDescent="0.35">
      <c r="A3" s="3" t="s">
        <v>41</v>
      </c>
      <c r="B3" s="3" t="s">
        <v>42</v>
      </c>
    </row>
    <row r="4" spans="1:2" x14ac:dyDescent="0.35">
      <c r="A4">
        <v>1</v>
      </c>
      <c r="B4">
        <v>180</v>
      </c>
    </row>
    <row r="5" spans="1:2" x14ac:dyDescent="0.35">
      <c r="A5">
        <v>2</v>
      </c>
      <c r="B5">
        <v>184</v>
      </c>
    </row>
    <row r="6" spans="1:2" x14ac:dyDescent="0.35">
      <c r="A6">
        <v>3</v>
      </c>
      <c r="B6">
        <v>188</v>
      </c>
    </row>
    <row r="7" spans="1:2" x14ac:dyDescent="0.35">
      <c r="A7">
        <v>4</v>
      </c>
      <c r="B7">
        <v>178</v>
      </c>
    </row>
    <row r="8" spans="1:2" x14ac:dyDescent="0.35">
      <c r="A8" s="4" t="s">
        <v>45</v>
      </c>
      <c r="B8" s="4">
        <f>SUM(B4:B7)</f>
        <v>730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zoomScale="63" workbookViewId="0">
      <selection activeCell="L22" sqref="L22"/>
    </sheetView>
  </sheetViews>
  <sheetFormatPr baseColWidth="10" defaultColWidth="8.7265625" defaultRowHeight="14.5" x14ac:dyDescent="0.35"/>
  <cols>
    <col min="1" max="1" width="44.26953125" bestFit="1" customWidth="1"/>
    <col min="2" max="2" width="20.54296875" bestFit="1" customWidth="1"/>
    <col min="3" max="3" width="34.1796875" bestFit="1" customWidth="1"/>
  </cols>
  <sheetData>
    <row r="1" spans="1:3" ht="18.5" x14ac:dyDescent="0.45">
      <c r="A1" s="1" t="s">
        <v>47</v>
      </c>
    </row>
    <row r="3" spans="1:3" x14ac:dyDescent="0.35">
      <c r="A3" s="3" t="s">
        <v>48</v>
      </c>
      <c r="B3" s="3" t="s">
        <v>28</v>
      </c>
      <c r="C3" s="3" t="s">
        <v>49</v>
      </c>
    </row>
    <row r="4" spans="1:3" x14ac:dyDescent="0.35">
      <c r="A4" t="s">
        <v>97</v>
      </c>
      <c r="B4" s="4">
        <f>PEARSON(Datos!$A$1:$A$731, Datos!$J$1:$J$731)</f>
        <v>7.352466859579182E-2</v>
      </c>
      <c r="C4" t="s">
        <v>98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tabSelected="1" workbookViewId="0">
      <selection activeCell="B12" sqref="B12"/>
    </sheetView>
  </sheetViews>
  <sheetFormatPr baseColWidth="10" defaultColWidth="8.7265625" defaultRowHeight="14.5" x14ac:dyDescent="0.35"/>
  <cols>
    <col min="1" max="1" width="23.6328125" customWidth="1"/>
    <col min="2" max="2" width="102.453125" bestFit="1" customWidth="1"/>
    <col min="3" max="3" width="18.26953125" bestFit="1" customWidth="1"/>
  </cols>
  <sheetData>
    <row r="1" spans="1:2" ht="18.5" x14ac:dyDescent="0.45">
      <c r="A1" s="1" t="s">
        <v>50</v>
      </c>
    </row>
    <row r="3" spans="1:2" x14ac:dyDescent="0.35">
      <c r="A3" s="3" t="s">
        <v>51</v>
      </c>
      <c r="B3" s="3" t="s">
        <v>52</v>
      </c>
    </row>
    <row r="4" spans="1:2" x14ac:dyDescent="0.35">
      <c r="A4" t="s">
        <v>53</v>
      </c>
      <c r="B4" s="12" t="s">
        <v>54</v>
      </c>
    </row>
    <row r="5" spans="1:2" x14ac:dyDescent="0.35">
      <c r="A5" t="s">
        <v>55</v>
      </c>
      <c r="B5" s="12" t="s">
        <v>56</v>
      </c>
    </row>
    <row r="6" spans="1:2" x14ac:dyDescent="0.35">
      <c r="A6" t="s">
        <v>57</v>
      </c>
      <c r="B6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Mapa del libro</vt:lpstr>
      <vt:lpstr>Datos</vt:lpstr>
      <vt:lpstr>Limpieza</vt:lpstr>
      <vt:lpstr>Univariado</vt:lpstr>
      <vt:lpstr>Bivariado</vt:lpstr>
      <vt:lpstr>Correlacion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Prestamo Estudiantes</cp:lastModifiedBy>
  <dcterms:created xsi:type="dcterms:W3CDTF">2026-08-10T15:09:11Z</dcterms:created>
  <dcterms:modified xsi:type="dcterms:W3CDTF">2026-08-10T17:33:48Z</dcterms:modified>
</cp:coreProperties>
</file>