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4"/>
    <sheet state="visible" name="Datos_Ventas" sheetId="2" r:id="rId5"/>
    <sheet state="visible" name="Datos_Inventario" sheetId="3" r:id="rId6"/>
    <sheet state="visible" name="Datos_Compras" sheetId="4" r:id="rId7"/>
    <sheet state="visible" name="ETL_Ventas" sheetId="5" r:id="rId8"/>
    <sheet state="visible" name="ETL_Inventario" sheetId="6" r:id="rId9"/>
    <sheet state="visible" name="ETL_Compras" sheetId="7" r:id="rId10"/>
    <sheet state="visible" name="Univariado" sheetId="8" r:id="rId11"/>
    <sheet state="visible" name="Bivariado" sheetId="9" r:id="rId12"/>
    <sheet state="visible" name="Correlacion" sheetId="10" r:id="rId13"/>
    <sheet state="visible" name="Conclusiones" sheetId="11" r:id="rId14"/>
  </sheets>
  <definedNames>
    <definedName hidden="1" localSheetId="1" name="_xlnm._FilterDatabase">Datos_Ventas!$A$2:$H$7</definedName>
    <definedName hidden="1" localSheetId="2" name="_xlnm._FilterDatabase">Datos_Inventario!$A$2:$E$15</definedName>
    <definedName hidden="1" localSheetId="3" name="_xlnm._FilterDatabase">Datos_Compras!$A$2:$E$7</definedName>
    <definedName hidden="1" localSheetId="4" name="_xlnm._FilterDatabase">ETL_Ventas!$A$3:$K$8</definedName>
    <definedName hidden="1" localSheetId="5" name="_xlnm._FilterDatabase">ETL_Inventario!$A$3:$H$10</definedName>
    <definedName hidden="1" localSheetId="6" name="_xlnm._FilterDatabase">ETL_Compras!$A$3:$G$8</definedName>
    <definedName hidden="1" localSheetId="4" name="Z_A9A1AC1C_952B_43E1_9330_B0672A32FE0A_.wvu.FilterData">ETL_Ventas!$A$3:$K$8</definedName>
    <definedName hidden="1" localSheetId="5" name="Z_565B670F_9F3A_4040_A469_B46B2B95A5E3_.wvu.FilterData">ETL_Inventario!$A$3:$H$10</definedName>
    <definedName hidden="1" localSheetId="2" name="Z_5B71AC18_4520_4EF6_BEEA_9762B5C031DF_.wvu.FilterData">Datos_Inventario!$A$2:$E$8</definedName>
    <definedName hidden="1" localSheetId="1" name="Z_7FB1BFBA_AAAD_4E91_9AF3_B5C338B9AE2B_.wvu.FilterData">Datos_Ventas!$A$2:$H$6</definedName>
    <definedName hidden="1" localSheetId="6" name="Z_C404BBBC_5C56_413D_91CA_6AF0FB3AF146_.wvu.FilterData">ETL_Compras!$A$3:$G$8</definedName>
    <definedName hidden="1" localSheetId="3" name="Z_821DA20C_2CE8_475E_A3AC_98D536380B2D_.wvu.FilterData">Datos_Compras!$A$2:$E$6</definedName>
  </definedNames>
  <calcPr/>
  <customWorkbookViews>
    <customWorkbookView activeSheetId="0" maximized="1" windowHeight="0" windowWidth="0" guid="{A9A1AC1C-952B-43E1-9330-B0672A32FE0A}" name="T_ETLVentas filter view"/>
    <customWorkbookView activeSheetId="0" maximized="1" windowHeight="0" windowWidth="0" guid="{565B670F-9F3A-4040-A469-B46B2B95A5E3}" name="T_ETLInventario filter view"/>
    <customWorkbookView activeSheetId="0" maximized="1" windowHeight="0" windowWidth="0" guid="{5B71AC18-4520-4EF6-BEEA-9762B5C031DF}" name="T_DatosInventario filter view"/>
    <customWorkbookView activeSheetId="0" maximized="1" windowHeight="0" windowWidth="0" guid="{7FB1BFBA-AAAD-4E91-9AF3-B5C338B9AE2B}" name="T_DatosVentas filter view"/>
    <customWorkbookView activeSheetId="0" maximized="1" windowHeight="0" windowWidth="0" guid="{C404BBBC-5C56-413D-91CA-6AF0FB3AF146}" name="T_ETLCompras filter view"/>
    <customWorkbookView activeSheetId="0" maximized="1" windowHeight="0" windowWidth="0" guid="{821DA20C-2CE8-475E-A3AC-98D536380B2D}" name="T_DatosCompras filter view"/>
  </customWorkbookViews>
  <extLst>
    <ext uri="GoogleSheetsCustomDataVersion2">
      <go:sheetsCustomData xmlns:go="http://customooxmlschemas.google.com/" r:id="rId15" roundtripDataChecksum="c8wWwIpZfOc2lLy9KTvl54SzsQCce34GGlHztt3wsMc="/>
    </ext>
  </extLst>
</workbook>
</file>

<file path=xl/sharedStrings.xml><?xml version="1.0" encoding="utf-8"?>
<sst xmlns="http://schemas.openxmlformats.org/spreadsheetml/2006/main" count="188" uniqueCount="132">
  <si>
    <t>ETL + EDA — Tienda</t>
  </si>
  <si>
    <t>Datos originales — Compras</t>
  </si>
  <si>
    <t>Datos originales — Inventario</t>
  </si>
  <si>
    <t>Datos originales — Ventas</t>
  </si>
  <si>
    <t>ETL (Extracción, Transformación y Carga) y EDA (Análisis Exploratorio de Datos), tomando como estructura guía el archivo EDA mercado.</t>
  </si>
  <si>
    <t>Mapa del libro</t>
  </si>
  <si>
    <t>Datos_Ventas</t>
  </si>
  <si>
    <t>Datos originales de ventas de la tienda.</t>
  </si>
  <si>
    <t>Producto</t>
  </si>
  <si>
    <t>id venta</t>
  </si>
  <si>
    <t>Compra</t>
  </si>
  <si>
    <t>Datos_Inventario</t>
  </si>
  <si>
    <t>Datos originales de inventario.</t>
  </si>
  <si>
    <t>Datos_Compras</t>
  </si>
  <si>
    <t>Datos originales de compras.</t>
  </si>
  <si>
    <t>ETL_Ventas</t>
  </si>
  <si>
    <t>Limpieza, estandarización y métricas de ventas.</t>
  </si>
  <si>
    <t>ETL_Inventario</t>
  </si>
  <si>
    <t>inventario</t>
  </si>
  <si>
    <t>Inventario transformado y stock restante.</t>
  </si>
  <si>
    <t>Cantidad</t>
  </si>
  <si>
    <t>costo</t>
  </si>
  <si>
    <t>ETL_Compras</t>
  </si>
  <si>
    <t>venta</t>
  </si>
  <si>
    <t>Precio U</t>
  </si>
  <si>
    <t>Compras transformadas y total de gasto.</t>
  </si>
  <si>
    <t>Inventario nuevo</t>
  </si>
  <si>
    <t>Precio</t>
  </si>
  <si>
    <t>Costo U</t>
  </si>
  <si>
    <t>galletas chocolate</t>
  </si>
  <si>
    <t>Costo Total</t>
  </si>
  <si>
    <t>Univariado</t>
  </si>
  <si>
    <t>Estadísticas descriptivas y distribución de ventas.</t>
  </si>
  <si>
    <t>Maquillaje</t>
  </si>
  <si>
    <t>Bivariado</t>
  </si>
  <si>
    <t>Ventas por producto, rentabilidad y relación cantidad-ingreso.</t>
  </si>
  <si>
    <t>Precio total</t>
  </si>
  <si>
    <t>Correlacion</t>
  </si>
  <si>
    <t>Ganancia</t>
  </si>
  <si>
    <t>Correlación entre cantidad vendida y precio total.</t>
  </si>
  <si>
    <t>galletas mms chocolate</t>
  </si>
  <si>
    <t>Conclusiones</t>
  </si>
  <si>
    <t>Hallazgos principales del análisis.</t>
  </si>
  <si>
    <t>Uva</t>
  </si>
  <si>
    <t>tiramisu</t>
  </si>
  <si>
    <t>Criterio de limpieza</t>
  </si>
  <si>
    <t>•</t>
  </si>
  <si>
    <t>gloss</t>
  </si>
  <si>
    <t>Se estandarizaron nombres de productos: 'galletas red' → 'galleta red velvet chocolate' y 'galleta chocolate' → 'galletas chocolate'.</t>
  </si>
  <si>
    <t>galleta red velvet chocolate</t>
  </si>
  <si>
    <t>Se conservaron los datos de compras por separado porque corresponden a productos diferentes a los del inventario.</t>
  </si>
  <si>
    <t>lapiz ojos</t>
  </si>
  <si>
    <t>galleta red</t>
  </si>
  <si>
    <t>Las métricas de EDA se calculan sobre las ventas registradas; no se imputan ventas inexistentes.</t>
  </si>
  <si>
    <t>cinamonroll</t>
  </si>
  <si>
    <t>limas</t>
  </si>
  <si>
    <t>galleta chocolate</t>
  </si>
  <si>
    <t>cheese cake arandanos</t>
  </si>
  <si>
    <t>cheese cake cereza</t>
  </si>
  <si>
    <t>Presupuesto inicial</t>
  </si>
  <si>
    <t>Total Ventas</t>
  </si>
  <si>
    <t>Total Compras</t>
  </si>
  <si>
    <t xml:space="preserve">Balance </t>
  </si>
  <si>
    <t>ETL — Ventas</t>
  </si>
  <si>
    <t>id_venta</t>
  </si>
  <si>
    <t>producto_original</t>
  </si>
  <si>
    <t>producto_estandar</t>
  </si>
  <si>
    <t>cantidad</t>
  </si>
  <si>
    <t>costo_unitario</t>
  </si>
  <si>
    <t>costo_total</t>
  </si>
  <si>
    <t>ETL — Inventario</t>
  </si>
  <si>
    <t>precio_unitario</t>
  </si>
  <si>
    <t>precio_total</t>
  </si>
  <si>
    <t>ganancia</t>
  </si>
  <si>
    <t>margen_%</t>
  </si>
  <si>
    <t>producto</t>
  </si>
  <si>
    <t>validacion</t>
  </si>
  <si>
    <t>stock_inicial</t>
  </si>
  <si>
    <t>precio_venta</t>
  </si>
  <si>
    <t>ETL — Compras</t>
  </si>
  <si>
    <t>cantidad_vendida</t>
  </si>
  <si>
    <t>stock_final</t>
  </si>
  <si>
    <t>id_compra</t>
  </si>
  <si>
    <t>valor_stock_final</t>
  </si>
  <si>
    <t>estado</t>
  </si>
  <si>
    <t>categoria_producto</t>
  </si>
  <si>
    <t>Producto externo</t>
  </si>
  <si>
    <t>TOTAL</t>
  </si>
  <si>
    <t>EDA — Univariado</t>
  </si>
  <si>
    <t>Estadísticas de precio total por venta</t>
  </si>
  <si>
    <t>Conteo</t>
  </si>
  <si>
    <t>Promedio</t>
  </si>
  <si>
    <t>Mínimo</t>
  </si>
  <si>
    <t>Máximo</t>
  </si>
  <si>
    <t>Desviación estándar</t>
  </si>
  <si>
    <t>Q1</t>
  </si>
  <si>
    <t>Mediana</t>
  </si>
  <si>
    <t>Q3</t>
  </si>
  <si>
    <t>RIC</t>
  </si>
  <si>
    <t>Límite inferior outlier</t>
  </si>
  <si>
    <t>Límite superior outlier</t>
  </si>
  <si>
    <t>Resumen por producto</t>
  </si>
  <si>
    <t>Cantidad vendida</t>
  </si>
  <si>
    <t>Ingreso total</t>
  </si>
  <si>
    <t>Ganancia total</t>
  </si>
  <si>
    <t>EDA — Correlación</t>
  </si>
  <si>
    <t>Correlación entre cantidad vendida y precio total</t>
  </si>
  <si>
    <t>Coeficiente de correlación</t>
  </si>
  <si>
    <t>Hallazgos obtenidos a partir de las hojas Univariado, Bivariado y Correlacion.</t>
  </si>
  <si>
    <t>Hallazgo 1</t>
  </si>
  <si>
    <t>El producto con mayor cantidad vendida es galletas chocolate, con 4 unidades.</t>
  </si>
  <si>
    <t>Interpretación</t>
  </si>
  <si>
    <t>Hallazgo 2</t>
  </si>
  <si>
    <t>Tiramisú genera el mayor ingreso por producto y también la mayor ganancia total.</t>
  </si>
  <si>
    <t>Hallazgo 3</t>
  </si>
  <si>
    <t>Las ventas registran $38,00 de ingreso total y $18,00 de ganancia, equivalente a un margen global cercano al 47,4%.</t>
  </si>
  <si>
    <t>Nota</t>
  </si>
  <si>
    <t>La correlación describe asociación, no demuestra causalidad.</t>
  </si>
  <si>
    <t>Hallazgo 4</t>
  </si>
  <si>
    <t>El inventario transformado permite identificar el stock restante después de descontar las unidades vendidas.</t>
  </si>
  <si>
    <t>Hallazgo 5</t>
  </si>
  <si>
    <t>La relación entre cantidad y precio total es positiva y moderada; vender más unidades tiende a asociarse con mayores ingresos, aunque no de forma perfecta.</t>
  </si>
  <si>
    <t>Hipótesis a validar</t>
  </si>
  <si>
    <t>Si la tienda aumenta la cantidad de unidades vendidas por transacción, podría aumentar el ingreso total, manteniendo precios y costos controlados.</t>
  </si>
  <si>
    <t>EDA — Bivariado</t>
  </si>
  <si>
    <t>Ingreso y rentabilidad por producto</t>
  </si>
  <si>
    <t>Margen %</t>
  </si>
  <si>
    <t>Relación cantidad vs ingreso</t>
  </si>
  <si>
    <t>La gráfica muestra si vender más unidades tiende a aumentar el ingreso de una transacción.</t>
  </si>
  <si>
    <t>Indicador de rentabilidad</t>
  </si>
  <si>
    <t>Margen global</t>
  </si>
  <si>
    <t>Gasto total compras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</si>
</sst>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0.0%"/>
    <numFmt numFmtId="166" formatCode="0.000"/>
  </numFmts>
  <fonts count="8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/>
    <font>
      <sz val="11.0"/>
      <color theme="1"/>
      <name val="Calibri"/>
    </font>
    <font>
      <b/>
      <sz val="13.0"/>
      <color rgb="FF1F4E78"/>
      <name val="Calibri"/>
      <scheme val="minor"/>
    </font>
    <font>
      <b/>
      <color rgb="FF1F4E78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1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5" fillId="0" fontId="2" numFmtId="0" xfId="0" applyBorder="1" applyFont="1"/>
    <xf borderId="0" fillId="0" fontId="5" numFmtId="0" xfId="0" applyAlignment="1" applyFont="1">
      <alignment vertical="center"/>
    </xf>
    <xf borderId="6" fillId="0" fontId="2" numFmtId="0" xfId="0" applyBorder="1" applyFont="1"/>
    <xf borderId="7" fillId="3" fontId="6" numFmtId="0" xfId="0" applyAlignment="1" applyBorder="1" applyFill="1" applyFont="1">
      <alignment horizontal="center" readingOrder="0" vertical="center"/>
    </xf>
    <xf borderId="7" fillId="4" fontId="3" numFmtId="0" xfId="0" applyAlignment="1" applyBorder="1" applyFill="1" applyFont="1">
      <alignment vertical="center"/>
    </xf>
    <xf borderId="7" fillId="5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7" fillId="5" fontId="3" numFmtId="0" xfId="0" applyBorder="1" applyFont="1"/>
    <xf borderId="0" fillId="0" fontId="3" numFmtId="0" xfId="0" applyAlignment="1" applyFont="1">
      <alignment readingOrder="0" shrinkToFit="0" vertical="center" wrapText="1"/>
    </xf>
    <xf borderId="7" fillId="0" fontId="3" numFmtId="0" xfId="0" applyAlignment="1" applyBorder="1" applyFont="1">
      <alignment vertical="center"/>
    </xf>
    <xf borderId="7" fillId="0" fontId="3" numFmtId="0" xfId="0" applyBorder="1" applyFont="1"/>
    <xf borderId="7" fillId="0" fontId="3" numFmtId="0" xfId="0" applyAlignment="1" applyBorder="1" applyFont="1">
      <alignment readingOrder="0" vertical="center"/>
    </xf>
    <xf borderId="4" fillId="2" fontId="1" numFmtId="0" xfId="0" applyAlignment="1" applyBorder="1" applyFont="1">
      <alignment horizontal="left" vertical="center"/>
    </xf>
    <xf borderId="7" fillId="3" fontId="6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shrinkToFit="0" vertical="center" wrapText="0"/>
    </xf>
    <xf borderId="7" fillId="0" fontId="3" numFmtId="164" xfId="0" applyAlignment="1" applyBorder="1" applyFont="1" applyNumberFormat="1">
      <alignment shrinkToFit="0" vertical="center" wrapText="0"/>
    </xf>
    <xf borderId="7" fillId="0" fontId="3" numFmtId="165" xfId="0" applyAlignment="1" applyBorder="1" applyFont="1" applyNumberFormat="1">
      <alignment shrinkToFit="0" vertical="center" wrapText="0"/>
    </xf>
    <xf borderId="7" fillId="6" fontId="7" numFmtId="0" xfId="0" applyAlignment="1" applyBorder="1" applyFill="1" applyFont="1">
      <alignment vertical="center"/>
    </xf>
    <xf borderId="7" fillId="6" fontId="7" numFmtId="0" xfId="0" applyBorder="1" applyFont="1"/>
    <xf borderId="7" fillId="6" fontId="7" numFmtId="164" xfId="0" applyAlignment="1" applyBorder="1" applyFont="1" applyNumberFormat="1">
      <alignment vertical="center"/>
    </xf>
    <xf borderId="7" fillId="0" fontId="3" numFmtId="164" xfId="0" applyAlignment="1" applyBorder="1" applyFont="1" applyNumberFormat="1">
      <alignment vertical="center"/>
    </xf>
    <xf borderId="7" fillId="3" fontId="6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7" fillId="0" fontId="3" numFmtId="166" xfId="0" applyAlignment="1" applyBorder="1" applyFont="1" applyNumberFormat="1">
      <alignment vertical="center"/>
    </xf>
    <xf borderId="1" fillId="7" fontId="3" numFmtId="0" xfId="0" applyAlignment="1" applyBorder="1" applyFill="1" applyFont="1">
      <alignment shrinkToFit="0" vertical="center" wrapText="1"/>
    </xf>
    <xf borderId="7" fillId="0" fontId="3" numFmtId="165" xfId="0" applyAlignment="1" applyBorder="1" applyFont="1" applyNumberFormat="1">
      <alignment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3">
    <tableStyle count="4" pivot="0" name="ETL_Ven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L_Invent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TL_Compr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Ingreso total por producto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Univariado!$C$18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Univariado!$A$19:$A$21</c:f>
            </c:strRef>
          </c:cat>
          <c:val>
            <c:numRef>
              <c:f>Univariado!$C$19:$C$21</c:f>
              <c:numCache/>
            </c:numRef>
          </c:val>
        </c:ser>
        <c:axId val="1874344450"/>
        <c:axId val="915836274"/>
      </c:barChart>
      <c:catAx>
        <c:axId val="1874344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Producto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836274"/>
      </c:catAx>
      <c:valAx>
        <c:axId val="915836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Ingreso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3444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Cantidad vs precio total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Ventas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ETL_Ventas!$D$4:$D$8</c:f>
            </c:numRef>
          </c:xVal>
          <c:yVal>
            <c:numRef>
              <c:f>ETL_Ventas!$H$4:$H$8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558182"/>
        <c:axId val="1691927654"/>
      </c:scatterChart>
      <c:valAx>
        <c:axId val="21465581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1927654"/>
      </c:valAx>
      <c:valAx>
        <c:axId val="1691927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Precio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5581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638175</xdr:colOff>
      <xdr:row>2</xdr:row>
      <xdr:rowOff>0</xdr:rowOff>
    </xdr:from>
    <xdr:ext cx="4314825" cy="2514600"/>
    <xdr:graphicFrame>
      <xdr:nvGraphicFramePr>
        <xdr:cNvPr id="104182504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1343025</xdr:colOff>
      <xdr:row>7</xdr:row>
      <xdr:rowOff>152400</xdr:rowOff>
    </xdr:from>
    <xdr:ext cx="4314825" cy="2876550"/>
    <xdr:graphicFrame>
      <xdr:nvGraphicFramePr>
        <xdr:cNvPr id="20608728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K8" displayName="T_ETLVentas" name="T_ETLVentas" id="1">
  <autoFilter ref="$A$3:$K$8"/>
  <tableColumns count="11">
    <tableColumn name="id_venta" id="1"/>
    <tableColumn name="producto_original" id="2"/>
    <tableColumn name="producto_estandar" id="3"/>
    <tableColumn name="cantidad" id="4"/>
    <tableColumn name="costo_unitario" id="5"/>
    <tableColumn name="costo_total" id="6"/>
    <tableColumn name="precio_unitario" id="7"/>
    <tableColumn name="precio_total" id="8"/>
    <tableColumn name="ganancia" id="9"/>
    <tableColumn name="margen_%" id="10"/>
    <tableColumn name="validacion" id="11"/>
  </tableColumns>
  <tableStyleInfo name="ETL_Ventas-style" showColumnStripes="0" showFirstColumn="1" showLastColumn="1" showRowStripes="1"/>
</table>
</file>

<file path=xl/tables/table2.xml><?xml version="1.0" encoding="utf-8"?>
<table xmlns="http://schemas.openxmlformats.org/spreadsheetml/2006/main" ref="A3:H10" displayName="T_ETLInventario" name="T_ETLInventario" id="2">
  <autoFilter ref="$A$3:$H$10"/>
  <tableColumns count="8">
    <tableColumn name="producto" id="1"/>
    <tableColumn name="stock_inicial" id="2"/>
    <tableColumn name="costo_unitario" id="3"/>
    <tableColumn name="precio_venta" id="4"/>
    <tableColumn name="cantidad_vendida" id="5"/>
    <tableColumn name="stock_final" id="6"/>
    <tableColumn name="valor_stock_final" id="7"/>
    <tableColumn name="estado" id="8"/>
  </tableColumns>
  <tableStyleInfo name="ETL_Inventario-style" showColumnStripes="0" showFirstColumn="1" showLastColumn="1" showRowStripes="1"/>
</table>
</file>

<file path=xl/tables/table3.xml><?xml version="1.0" encoding="utf-8"?>
<table xmlns="http://schemas.openxmlformats.org/spreadsheetml/2006/main" ref="A3:G8" displayName="T_ETLCompras" name="T_ETLCompras" id="3">
  <autoFilter ref="$A$3:$G$8"/>
  <tableColumns count="7">
    <tableColumn name="id_compra" id="1"/>
    <tableColumn name="producto" id="2"/>
    <tableColumn name="cantidad" id="3"/>
    <tableColumn name="precio_unitario" id="4"/>
    <tableColumn name="precio_total" id="5"/>
    <tableColumn name="categoria_producto" id="6"/>
    <tableColumn name="validacion" id="7"/>
  </tableColumns>
  <tableStyleInfo name="ETL_Compr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0.0"/>
    <col customWidth="1" min="3" max="6" width="10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>
      <c r="A2" s="4" t="s">
        <v>4</v>
      </c>
    </row>
    <row r="4">
      <c r="A4" s="6" t="s">
        <v>5</v>
      </c>
    </row>
    <row r="5">
      <c r="A5" s="8" t="s">
        <v>6</v>
      </c>
      <c r="B5" s="4" t="s">
        <v>7</v>
      </c>
    </row>
    <row r="6">
      <c r="A6" s="8" t="s">
        <v>11</v>
      </c>
      <c r="B6" s="4" t="s">
        <v>12</v>
      </c>
    </row>
    <row r="7">
      <c r="A7" s="8" t="s">
        <v>13</v>
      </c>
      <c r="B7" s="4" t="s">
        <v>14</v>
      </c>
    </row>
    <row r="8">
      <c r="A8" s="8" t="s">
        <v>15</v>
      </c>
      <c r="B8" s="4" t="s">
        <v>16</v>
      </c>
    </row>
    <row r="9">
      <c r="A9" s="8" t="s">
        <v>17</v>
      </c>
      <c r="B9" s="4" t="s">
        <v>19</v>
      </c>
    </row>
    <row r="10">
      <c r="A10" s="8" t="s">
        <v>22</v>
      </c>
      <c r="B10" s="4" t="s">
        <v>25</v>
      </c>
    </row>
    <row r="11">
      <c r="A11" s="8" t="s">
        <v>31</v>
      </c>
      <c r="B11" s="4" t="s">
        <v>32</v>
      </c>
    </row>
    <row r="12">
      <c r="A12" s="8" t="s">
        <v>34</v>
      </c>
      <c r="B12" s="4" t="s">
        <v>35</v>
      </c>
    </row>
    <row r="13">
      <c r="A13" s="8" t="s">
        <v>37</v>
      </c>
      <c r="B13" s="4" t="s">
        <v>39</v>
      </c>
    </row>
    <row r="14">
      <c r="A14" s="8" t="s">
        <v>41</v>
      </c>
      <c r="B14" s="4" t="s">
        <v>42</v>
      </c>
    </row>
    <row r="17">
      <c r="A17" s="6" t="s">
        <v>45</v>
      </c>
    </row>
    <row r="18">
      <c r="A18" s="13" t="s">
        <v>46</v>
      </c>
      <c r="B18" s="15" t="s">
        <v>48</v>
      </c>
    </row>
    <row r="19">
      <c r="A19" s="13" t="s">
        <v>46</v>
      </c>
      <c r="B19" s="4" t="s">
        <v>50</v>
      </c>
    </row>
    <row r="20">
      <c r="A20" s="13" t="s">
        <v>46</v>
      </c>
      <c r="B20" s="4" t="s">
        <v>53</v>
      </c>
    </row>
    <row r="21" ht="15.75" customHeight="1">
      <c r="A21" s="13"/>
      <c r="B21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F1"/>
    <mergeCell ref="A2:F2"/>
    <mergeCell ref="B18:F18"/>
    <mergeCell ref="B19:F19"/>
    <mergeCell ref="B20:F20"/>
    <mergeCell ref="B21:F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7.0"/>
    <col customWidth="1" min="2" max="2" width="20.0"/>
    <col customWidth="1" min="3" max="3" width="13.29"/>
    <col customWidth="1" min="4" max="4" width="12.29"/>
    <col customWidth="1" min="5" max="5" width="15.57"/>
    <col customWidth="1" min="6" max="6" width="12.86"/>
    <col customWidth="1" min="7" max="7" width="15.71"/>
    <col customWidth="1" min="8" max="8" width="13.57"/>
    <col customWidth="1" min="9" max="26" width="8.71"/>
  </cols>
  <sheetData>
    <row r="1" ht="27.75" customHeight="1">
      <c r="A1" s="5" t="s">
        <v>3</v>
      </c>
      <c r="B1" s="7"/>
      <c r="C1" s="7"/>
      <c r="D1" s="7"/>
      <c r="E1" s="7"/>
      <c r="F1" s="7"/>
      <c r="G1" s="7"/>
      <c r="H1" s="9"/>
    </row>
    <row r="2">
      <c r="A2" s="10" t="s">
        <v>9</v>
      </c>
      <c r="B2" s="10" t="s">
        <v>8</v>
      </c>
      <c r="C2" s="10" t="s">
        <v>20</v>
      </c>
      <c r="D2" s="10" t="s">
        <v>28</v>
      </c>
      <c r="E2" s="10" t="s">
        <v>30</v>
      </c>
      <c r="F2" s="10" t="s">
        <v>24</v>
      </c>
      <c r="G2" s="10" t="s">
        <v>36</v>
      </c>
      <c r="H2" s="10" t="s">
        <v>38</v>
      </c>
    </row>
    <row r="3">
      <c r="A3" s="11">
        <v>1.0</v>
      </c>
      <c r="B3" s="11" t="s">
        <v>44</v>
      </c>
      <c r="C3" s="11">
        <v>2.0</v>
      </c>
      <c r="D3" s="11">
        <v>4.0</v>
      </c>
      <c r="E3" s="11">
        <v>8.0</v>
      </c>
      <c r="F3" s="11">
        <v>8.0</v>
      </c>
      <c r="G3" s="11">
        <v>16.0</v>
      </c>
      <c r="H3" s="11">
        <v>8.0</v>
      </c>
    </row>
    <row r="4">
      <c r="A4" s="12">
        <v>2.0</v>
      </c>
      <c r="B4" s="12" t="s">
        <v>52</v>
      </c>
      <c r="C4" s="12">
        <v>1.0</v>
      </c>
      <c r="D4" s="12">
        <v>1.0</v>
      </c>
      <c r="E4" s="12">
        <v>2.0</v>
      </c>
      <c r="F4" s="12">
        <v>2.0</v>
      </c>
      <c r="G4" s="12">
        <v>4.0</v>
      </c>
      <c r="H4" s="12">
        <v>2.0</v>
      </c>
    </row>
    <row r="5">
      <c r="A5" s="11">
        <v>3.0</v>
      </c>
      <c r="B5" s="11" t="s">
        <v>56</v>
      </c>
      <c r="C5" s="11">
        <v>2.0</v>
      </c>
      <c r="D5" s="11">
        <v>1.5</v>
      </c>
      <c r="E5" s="11">
        <v>3.0</v>
      </c>
      <c r="F5" s="11">
        <v>2.5</v>
      </c>
      <c r="G5" s="11">
        <v>5.0</v>
      </c>
      <c r="H5" s="11">
        <v>2.0</v>
      </c>
    </row>
    <row r="6">
      <c r="A6" s="12">
        <v>4.0</v>
      </c>
      <c r="B6" s="12" t="s">
        <v>52</v>
      </c>
      <c r="C6" s="12">
        <v>2.0</v>
      </c>
      <c r="D6" s="12">
        <v>2.0</v>
      </c>
      <c r="E6" s="12">
        <v>4.0</v>
      </c>
      <c r="F6" s="12">
        <v>4.0</v>
      </c>
      <c r="G6" s="12">
        <v>8.0</v>
      </c>
      <c r="H6" s="12">
        <v>4.0</v>
      </c>
    </row>
    <row r="7">
      <c r="A7" s="16">
        <v>5.0</v>
      </c>
      <c r="B7" s="16" t="s">
        <v>29</v>
      </c>
      <c r="C7" s="16">
        <v>2.0</v>
      </c>
      <c r="D7" s="16">
        <v>1.5</v>
      </c>
      <c r="E7" s="16">
        <v>3.0</v>
      </c>
      <c r="F7" s="16">
        <v>2.5</v>
      </c>
      <c r="G7" s="16">
        <v>5.0</v>
      </c>
      <c r="H7" s="16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H$7"/>
  <customSheetViews>
    <customSheetView guid="{7FB1BFBA-AAAD-4E91-9AF3-B5C338B9AE2B}" filter="1" showAutoFilter="1">
      <autoFilter ref="$A$2:$H$6"/>
      <extLst>
        <ext uri="GoogleSheetsCustomDataVersion1">
          <go:sheetsCustomData xmlns:go="http://customooxmlschemas.google.com/" filterViewId="376901627"/>
        </ext>
      </extLst>
    </customSheetView>
  </customSheetViews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14.29"/>
    <col customWidth="1" min="3" max="4" width="10.0"/>
    <col customWidth="1" min="5" max="5" width="20.57"/>
    <col customWidth="1" min="6" max="26" width="8.71"/>
  </cols>
  <sheetData>
    <row r="1" ht="27.75" customHeight="1">
      <c r="A1" s="5" t="s">
        <v>2</v>
      </c>
      <c r="B1" s="7"/>
      <c r="C1" s="7"/>
      <c r="D1" s="7"/>
      <c r="E1" s="9"/>
    </row>
    <row r="2">
      <c r="A2" s="10" t="s">
        <v>8</v>
      </c>
      <c r="B2" s="10" t="s">
        <v>18</v>
      </c>
      <c r="C2" s="10" t="s">
        <v>21</v>
      </c>
      <c r="D2" s="10" t="s">
        <v>23</v>
      </c>
      <c r="E2" s="10" t="s">
        <v>26</v>
      </c>
    </row>
    <row r="3">
      <c r="A3" s="11" t="s">
        <v>29</v>
      </c>
      <c r="B3" s="11">
        <v>7.0</v>
      </c>
      <c r="C3" s="11">
        <v>1.5</v>
      </c>
      <c r="D3" s="11">
        <v>3.0</v>
      </c>
      <c r="E3" s="11">
        <v>5.0</v>
      </c>
    </row>
    <row r="4">
      <c r="A4" s="12" t="s">
        <v>40</v>
      </c>
      <c r="B4" s="12">
        <v>7.0</v>
      </c>
      <c r="C4" s="12">
        <v>2.0</v>
      </c>
      <c r="D4" s="12">
        <v>4.0</v>
      </c>
      <c r="E4" s="14"/>
    </row>
    <row r="5">
      <c r="A5" s="11" t="s">
        <v>49</v>
      </c>
      <c r="B5" s="11">
        <v>7.0</v>
      </c>
      <c r="C5" s="11">
        <v>2.0</v>
      </c>
      <c r="D5" s="11">
        <v>4.0</v>
      </c>
      <c r="E5" s="11">
        <v>6.0</v>
      </c>
    </row>
    <row r="6">
      <c r="A6" s="12" t="s">
        <v>54</v>
      </c>
      <c r="B6" s="12">
        <v>2.0</v>
      </c>
      <c r="C6" s="12">
        <v>4.0</v>
      </c>
      <c r="D6" s="12">
        <v>8.0</v>
      </c>
      <c r="E6" s="14"/>
    </row>
    <row r="7">
      <c r="A7" s="11" t="s">
        <v>44</v>
      </c>
      <c r="B7" s="11">
        <v>2.0</v>
      </c>
      <c r="C7" s="11">
        <v>4.0</v>
      </c>
      <c r="D7" s="11">
        <v>8.0</v>
      </c>
      <c r="E7" s="11">
        <v>0.0</v>
      </c>
    </row>
    <row r="8">
      <c r="A8" s="12" t="s">
        <v>57</v>
      </c>
      <c r="B8" s="12">
        <v>2.0</v>
      </c>
      <c r="C8" s="12">
        <v>4.0</v>
      </c>
      <c r="D8" s="12">
        <v>8.0</v>
      </c>
      <c r="E8" s="14"/>
    </row>
    <row r="9">
      <c r="A9" s="16" t="s">
        <v>58</v>
      </c>
      <c r="B9" s="16">
        <v>2.0</v>
      </c>
      <c r="C9" s="16">
        <v>4.0</v>
      </c>
      <c r="D9" s="16">
        <v>8.0</v>
      </c>
      <c r="E9" s="17"/>
    </row>
    <row r="10">
      <c r="A10" s="17"/>
      <c r="B10" s="17"/>
      <c r="C10" s="17"/>
      <c r="D10" s="17"/>
      <c r="E10" s="17"/>
    </row>
    <row r="11">
      <c r="A11" s="17"/>
      <c r="B11" s="17"/>
      <c r="C11" s="17"/>
      <c r="D11" s="17"/>
      <c r="E11" s="17"/>
    </row>
    <row r="12">
      <c r="A12" s="16" t="s">
        <v>59</v>
      </c>
      <c r="B12" s="16">
        <v>50.0</v>
      </c>
      <c r="C12" s="17"/>
      <c r="D12" s="17"/>
      <c r="E12" s="17"/>
    </row>
    <row r="13">
      <c r="A13" s="16" t="s">
        <v>60</v>
      </c>
      <c r="B13" s="16">
        <v>38.0</v>
      </c>
      <c r="C13" s="17"/>
      <c r="D13" s="17"/>
      <c r="E13" s="17"/>
    </row>
    <row r="14">
      <c r="A14" s="16" t="s">
        <v>61</v>
      </c>
      <c r="B14" s="16">
        <v>35.5</v>
      </c>
      <c r="C14" s="17"/>
      <c r="D14" s="17"/>
      <c r="E14" s="17"/>
    </row>
    <row r="15">
      <c r="A15" s="18" t="s">
        <v>62</v>
      </c>
      <c r="B15" s="16">
        <f>B12+B13-B14</f>
        <v>52.5</v>
      </c>
      <c r="C15" s="17"/>
      <c r="D15" s="17"/>
      <c r="E1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15"/>
  <customSheetViews>
    <customSheetView guid="{5B71AC18-4520-4EF6-BEEA-9762B5C031DF}" filter="1" showAutoFilter="1">
      <autoFilter ref="$A$2:$E$8"/>
      <extLst>
        <ext uri="GoogleSheetsCustomDataVersion1">
          <go:sheetsCustomData xmlns:go="http://customooxmlschemas.google.com/" filterViewId="1338890467"/>
        </ext>
      </extLst>
    </customSheetView>
  </customSheetViews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7.0"/>
    <col customWidth="1" min="2" max="2" width="13.43"/>
    <col customWidth="1" min="3" max="3" width="13.29"/>
    <col customWidth="1" min="4" max="4" width="12.86"/>
    <col customWidth="1" min="5" max="5" width="10.86"/>
    <col customWidth="1" min="6" max="26" width="8.71"/>
  </cols>
  <sheetData>
    <row r="1" ht="27.75" customHeight="1">
      <c r="A1" s="5" t="s">
        <v>1</v>
      </c>
      <c r="B1" s="7"/>
      <c r="C1" s="7"/>
      <c r="D1" s="7"/>
      <c r="E1" s="9"/>
    </row>
    <row r="2">
      <c r="A2" s="10" t="s">
        <v>10</v>
      </c>
      <c r="B2" s="10" t="s">
        <v>8</v>
      </c>
      <c r="C2" s="10" t="s">
        <v>20</v>
      </c>
      <c r="D2" s="10" t="s">
        <v>24</v>
      </c>
      <c r="E2" s="10" t="s">
        <v>27</v>
      </c>
    </row>
    <row r="3">
      <c r="A3" s="11">
        <v>1.0</v>
      </c>
      <c r="B3" s="11" t="s">
        <v>33</v>
      </c>
      <c r="C3" s="11">
        <v>1.0</v>
      </c>
      <c r="D3" s="11">
        <v>10.0</v>
      </c>
      <c r="E3" s="11">
        <v>10.0</v>
      </c>
    </row>
    <row r="4">
      <c r="A4" s="12">
        <v>2.0</v>
      </c>
      <c r="B4" s="12" t="s">
        <v>43</v>
      </c>
      <c r="C4" s="12">
        <v>1.0</v>
      </c>
      <c r="D4" s="12">
        <v>10.0</v>
      </c>
      <c r="E4" s="12">
        <v>10.0</v>
      </c>
    </row>
    <row r="5">
      <c r="A5" s="11">
        <v>3.0</v>
      </c>
      <c r="B5" s="11" t="s">
        <v>47</v>
      </c>
      <c r="C5" s="11">
        <v>1.0</v>
      </c>
      <c r="D5" s="11">
        <v>6.0</v>
      </c>
      <c r="E5" s="11">
        <v>6.0</v>
      </c>
    </row>
    <row r="6">
      <c r="A6" s="12">
        <v>4.0</v>
      </c>
      <c r="B6" s="12" t="s">
        <v>51</v>
      </c>
      <c r="C6" s="12">
        <v>1.0</v>
      </c>
      <c r="D6" s="12">
        <v>5.5</v>
      </c>
      <c r="E6" s="12">
        <v>5.5</v>
      </c>
    </row>
    <row r="7">
      <c r="A7" s="16">
        <v>5.0</v>
      </c>
      <c r="B7" s="16" t="s">
        <v>55</v>
      </c>
      <c r="C7" s="16">
        <v>2.0</v>
      </c>
      <c r="D7" s="16">
        <v>2.0</v>
      </c>
      <c r="E7" s="16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E$7"/>
  <customSheetViews>
    <customSheetView guid="{821DA20C-2CE8-475E-A3AC-98D536380B2D}" filter="1" showAutoFilter="1">
      <autoFilter ref="$A$2:$E$6"/>
      <extLst>
        <ext uri="GoogleSheetsCustomDataVersion1">
          <go:sheetsCustomData xmlns:go="http://customooxmlschemas.google.com/" filterViewId="96519858"/>
        </ext>
      </extLst>
    </customSheetView>
  </customSheetViews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30.0"/>
    <col customWidth="1" min="4" max="4" width="13.0"/>
    <col customWidth="1" min="5" max="5" width="18.29"/>
    <col customWidth="1" min="6" max="6" width="15.29"/>
    <col customWidth="1" min="7" max="7" width="18.86"/>
    <col customWidth="1" min="8" max="8" width="15.86"/>
    <col customWidth="1" min="9" max="9" width="13.43"/>
    <col customWidth="1" min="10" max="10" width="14.57"/>
    <col customWidth="1" min="11" max="11" width="30.0"/>
    <col customWidth="1" min="12" max="26" width="8.71"/>
  </cols>
  <sheetData>
    <row r="1" ht="27.75" customHeight="1">
      <c r="A1" s="19" t="s">
        <v>63</v>
      </c>
      <c r="B1" s="7"/>
      <c r="C1" s="7"/>
      <c r="D1" s="7"/>
      <c r="E1" s="7"/>
      <c r="F1" s="7"/>
      <c r="G1" s="7"/>
      <c r="H1" s="7"/>
      <c r="I1" s="7"/>
      <c r="J1" s="7"/>
      <c r="K1" s="9"/>
    </row>
    <row r="3">
      <c r="A3" s="20" t="s">
        <v>64</v>
      </c>
      <c r="B3" s="20" t="s">
        <v>65</v>
      </c>
      <c r="C3" s="20" t="s">
        <v>66</v>
      </c>
      <c r="D3" s="20" t="s">
        <v>67</v>
      </c>
      <c r="E3" s="20" t="s">
        <v>68</v>
      </c>
      <c r="F3" s="20" t="s">
        <v>69</v>
      </c>
      <c r="G3" s="20" t="s">
        <v>71</v>
      </c>
      <c r="H3" s="20" t="s">
        <v>72</v>
      </c>
      <c r="I3" s="20" t="s">
        <v>73</v>
      </c>
      <c r="J3" s="20" t="s">
        <v>74</v>
      </c>
      <c r="K3" s="20" t="s">
        <v>76</v>
      </c>
    </row>
    <row r="4">
      <c r="A4" s="21">
        <v>1.0</v>
      </c>
      <c r="B4" s="21" t="s">
        <v>44</v>
      </c>
      <c r="C4" s="21" t="s">
        <v>44</v>
      </c>
      <c r="D4" s="21">
        <v>2.0</v>
      </c>
      <c r="E4" s="21">
        <v>4.0</v>
      </c>
      <c r="F4" s="21">
        <v>8.0</v>
      </c>
      <c r="G4" s="21">
        <v>8.0</v>
      </c>
      <c r="H4" s="21">
        <v>16.0</v>
      </c>
      <c r="I4" s="21">
        <v>8.0</v>
      </c>
      <c r="J4" s="23">
        <f t="shared" ref="J4:J8" si="1">IF(H4=0,0,I4/H4)</f>
        <v>0.5</v>
      </c>
      <c r="K4" s="21" t="str">
        <f t="shared" ref="K4:K8" si="2">IF(AND(D4&gt;0,F4=D4*E4,H4=D4*G4),"OK","REVISAR")</f>
        <v>OK</v>
      </c>
    </row>
    <row r="5">
      <c r="A5" s="21">
        <v>2.0</v>
      </c>
      <c r="B5" s="21" t="s">
        <v>52</v>
      </c>
      <c r="C5" s="21" t="s">
        <v>49</v>
      </c>
      <c r="D5" s="21">
        <v>1.0</v>
      </c>
      <c r="E5" s="21">
        <v>1.0</v>
      </c>
      <c r="F5" s="21">
        <v>2.0</v>
      </c>
      <c r="G5" s="21">
        <v>2.0</v>
      </c>
      <c r="H5" s="21">
        <v>4.0</v>
      </c>
      <c r="I5" s="21">
        <v>2.0</v>
      </c>
      <c r="J5" s="23">
        <f t="shared" si="1"/>
        <v>0.5</v>
      </c>
      <c r="K5" s="21" t="str">
        <f t="shared" si="2"/>
        <v>REVISAR</v>
      </c>
    </row>
    <row r="6">
      <c r="A6" s="21">
        <v>3.0</v>
      </c>
      <c r="B6" s="21" t="s">
        <v>56</v>
      </c>
      <c r="C6" s="21" t="s">
        <v>29</v>
      </c>
      <c r="D6" s="21">
        <v>2.0</v>
      </c>
      <c r="E6" s="21">
        <v>1.5</v>
      </c>
      <c r="F6" s="21">
        <v>3.0</v>
      </c>
      <c r="G6" s="21">
        <v>2.5</v>
      </c>
      <c r="H6" s="21">
        <v>5.0</v>
      </c>
      <c r="I6" s="21">
        <v>2.0</v>
      </c>
      <c r="J6" s="23">
        <f t="shared" si="1"/>
        <v>0.4</v>
      </c>
      <c r="K6" s="21" t="str">
        <f t="shared" si="2"/>
        <v>OK</v>
      </c>
    </row>
    <row r="7">
      <c r="A7" s="21">
        <v>4.0</v>
      </c>
      <c r="B7" s="21" t="s">
        <v>52</v>
      </c>
      <c r="C7" s="21" t="s">
        <v>49</v>
      </c>
      <c r="D7" s="21">
        <v>2.0</v>
      </c>
      <c r="E7" s="21">
        <v>2.0</v>
      </c>
      <c r="F7" s="21">
        <v>4.0</v>
      </c>
      <c r="G7" s="21">
        <v>4.0</v>
      </c>
      <c r="H7" s="21">
        <v>8.0</v>
      </c>
      <c r="I7" s="21">
        <v>4.0</v>
      </c>
      <c r="J7" s="23">
        <f t="shared" si="1"/>
        <v>0.5</v>
      </c>
      <c r="K7" s="21" t="str">
        <f t="shared" si="2"/>
        <v>OK</v>
      </c>
    </row>
    <row r="8">
      <c r="A8" s="21">
        <v>5.0</v>
      </c>
      <c r="B8" s="21" t="s">
        <v>29</v>
      </c>
      <c r="C8" s="21" t="s">
        <v>29</v>
      </c>
      <c r="D8" s="21">
        <v>2.0</v>
      </c>
      <c r="E8" s="21">
        <v>1.5</v>
      </c>
      <c r="F8" s="21">
        <v>3.0</v>
      </c>
      <c r="G8" s="21">
        <v>2.5</v>
      </c>
      <c r="H8" s="21">
        <v>5.0</v>
      </c>
      <c r="I8" s="21">
        <v>2.0</v>
      </c>
      <c r="J8" s="23">
        <f t="shared" si="1"/>
        <v>0.4</v>
      </c>
      <c r="K8" s="21" t="str">
        <f t="shared" si="2"/>
        <v>OK</v>
      </c>
    </row>
    <row r="9">
      <c r="A9" s="24" t="s">
        <v>87</v>
      </c>
      <c r="B9" s="25"/>
      <c r="C9" s="25"/>
      <c r="D9" s="24">
        <f>SUM(D4:D8)</f>
        <v>9</v>
      </c>
      <c r="E9" s="25"/>
      <c r="F9" s="24">
        <f>SUM(F4:F8)</f>
        <v>20</v>
      </c>
      <c r="G9" s="25"/>
      <c r="H9" s="24">
        <f t="shared" ref="H9:I9" si="3">SUM(H4:H8)</f>
        <v>38</v>
      </c>
      <c r="I9" s="24">
        <f t="shared" si="3"/>
        <v>18</v>
      </c>
      <c r="J9" s="25"/>
      <c r="K9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9A1AC1C-952B-43E1-9330-B0672A32FE0A}" filter="1" showAutoFilter="1">
      <autoFilter ref="$A$3:$K$8"/>
      <extLst>
        <ext uri="GoogleSheetsCustomDataVersion1">
          <go:sheetsCustomData xmlns:go="http://customooxmlschemas.google.com/" filterViewId="964989834"/>
        </ext>
      </extLst>
    </customSheetView>
  </customSheetViews>
  <mergeCells count="1">
    <mergeCell ref="A1:K1"/>
  </mergeCells>
  <conditionalFormatting sqref="K4:K8">
    <cfRule type="cellIs" dxfId="5" priority="1" operator="equal">
      <formula>"REVISAR"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6.57"/>
    <col customWidth="1" min="3" max="3" width="18.29"/>
    <col customWidth="1" min="4" max="4" width="16.86"/>
    <col customWidth="1" min="5" max="5" width="21.29"/>
    <col customWidth="1" min="6" max="6" width="15.0"/>
    <col customWidth="1" min="7" max="7" width="19.0"/>
    <col customWidth="1" min="8" max="8" width="30.0"/>
    <col customWidth="1" min="9" max="26" width="8.71"/>
  </cols>
  <sheetData>
    <row r="1" ht="27.75" customHeight="1">
      <c r="A1" s="19" t="s">
        <v>70</v>
      </c>
      <c r="B1" s="7"/>
      <c r="C1" s="7"/>
      <c r="D1" s="7"/>
      <c r="E1" s="7"/>
      <c r="F1" s="7"/>
      <c r="G1" s="7"/>
      <c r="H1" s="9"/>
    </row>
    <row r="3">
      <c r="A3" s="20" t="s">
        <v>75</v>
      </c>
      <c r="B3" s="20" t="s">
        <v>77</v>
      </c>
      <c r="C3" s="20" t="s">
        <v>68</v>
      </c>
      <c r="D3" s="20" t="s">
        <v>78</v>
      </c>
      <c r="E3" s="20" t="s">
        <v>80</v>
      </c>
      <c r="F3" s="20" t="s">
        <v>81</v>
      </c>
      <c r="G3" s="20" t="s">
        <v>83</v>
      </c>
      <c r="H3" s="20" t="s">
        <v>84</v>
      </c>
    </row>
    <row r="4">
      <c r="A4" s="21" t="s">
        <v>29</v>
      </c>
      <c r="B4" s="21">
        <v>7.0</v>
      </c>
      <c r="C4" s="22">
        <v>1.5</v>
      </c>
      <c r="D4" s="22">
        <v>3.0</v>
      </c>
      <c r="E4" s="21">
        <v>4.0</v>
      </c>
      <c r="F4" s="21">
        <f t="shared" ref="F4:F10" si="1">B4-E4</f>
        <v>3</v>
      </c>
      <c r="G4" s="22">
        <f t="shared" ref="G4:G10" si="2">F4*C4</f>
        <v>4.5</v>
      </c>
      <c r="H4" s="21" t="str">
        <f t="shared" ref="H4:H10" si="3">IF(F4&lt;0,"Stock negativo",IF(F4=0,"Agotado","Disponible"))</f>
        <v>Disponible</v>
      </c>
    </row>
    <row r="5">
      <c r="A5" s="21" t="s">
        <v>40</v>
      </c>
      <c r="B5" s="21">
        <v>7.0</v>
      </c>
      <c r="C5" s="22">
        <v>2.0</v>
      </c>
      <c r="D5" s="22">
        <v>4.0</v>
      </c>
      <c r="E5" s="21">
        <v>0.0</v>
      </c>
      <c r="F5" s="21">
        <f t="shared" si="1"/>
        <v>7</v>
      </c>
      <c r="G5" s="22">
        <f t="shared" si="2"/>
        <v>14</v>
      </c>
      <c r="H5" s="21" t="str">
        <f t="shared" si="3"/>
        <v>Disponible</v>
      </c>
    </row>
    <row r="6">
      <c r="A6" s="21" t="s">
        <v>49</v>
      </c>
      <c r="B6" s="21">
        <v>7.0</v>
      </c>
      <c r="C6" s="22">
        <v>2.0</v>
      </c>
      <c r="D6" s="22">
        <v>4.0</v>
      </c>
      <c r="E6" s="21">
        <v>3.0</v>
      </c>
      <c r="F6" s="21">
        <f t="shared" si="1"/>
        <v>4</v>
      </c>
      <c r="G6" s="22">
        <f t="shared" si="2"/>
        <v>8</v>
      </c>
      <c r="H6" s="21" t="str">
        <f t="shared" si="3"/>
        <v>Disponible</v>
      </c>
    </row>
    <row r="7">
      <c r="A7" s="21" t="s">
        <v>54</v>
      </c>
      <c r="B7" s="21">
        <v>2.0</v>
      </c>
      <c r="C7" s="22">
        <v>4.0</v>
      </c>
      <c r="D7" s="22">
        <v>8.0</v>
      </c>
      <c r="E7" s="21">
        <v>0.0</v>
      </c>
      <c r="F7" s="21">
        <f t="shared" si="1"/>
        <v>2</v>
      </c>
      <c r="G7" s="22">
        <f t="shared" si="2"/>
        <v>8</v>
      </c>
      <c r="H7" s="21" t="str">
        <f t="shared" si="3"/>
        <v>Disponible</v>
      </c>
    </row>
    <row r="8">
      <c r="A8" s="21" t="s">
        <v>44</v>
      </c>
      <c r="B8" s="21">
        <v>2.0</v>
      </c>
      <c r="C8" s="22">
        <v>4.0</v>
      </c>
      <c r="D8" s="22">
        <v>8.0</v>
      </c>
      <c r="E8" s="21">
        <v>2.0</v>
      </c>
      <c r="F8" s="21">
        <f t="shared" si="1"/>
        <v>0</v>
      </c>
      <c r="G8" s="22">
        <f t="shared" si="2"/>
        <v>0</v>
      </c>
      <c r="H8" s="21" t="str">
        <f t="shared" si="3"/>
        <v>Agotado</v>
      </c>
    </row>
    <row r="9">
      <c r="A9" s="21" t="s">
        <v>57</v>
      </c>
      <c r="B9" s="21">
        <v>2.0</v>
      </c>
      <c r="C9" s="22">
        <v>4.0</v>
      </c>
      <c r="D9" s="22">
        <v>8.0</v>
      </c>
      <c r="E9" s="21">
        <v>0.0</v>
      </c>
      <c r="F9" s="21">
        <f t="shared" si="1"/>
        <v>2</v>
      </c>
      <c r="G9" s="22">
        <f t="shared" si="2"/>
        <v>8</v>
      </c>
      <c r="H9" s="21" t="str">
        <f t="shared" si="3"/>
        <v>Disponible</v>
      </c>
    </row>
    <row r="10">
      <c r="A10" s="21" t="s">
        <v>58</v>
      </c>
      <c r="B10" s="21">
        <v>2.0</v>
      </c>
      <c r="C10" s="22">
        <v>4.0</v>
      </c>
      <c r="D10" s="22">
        <v>8.0</v>
      </c>
      <c r="E10" s="21">
        <v>0.0</v>
      </c>
      <c r="F10" s="21">
        <f t="shared" si="1"/>
        <v>2</v>
      </c>
      <c r="G10" s="22">
        <f t="shared" si="2"/>
        <v>8</v>
      </c>
      <c r="H10" s="21" t="str">
        <f t="shared" si="3"/>
        <v>Disponible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65B670F-9F3A-4040-A469-B46B2B95A5E3}" filter="1" showAutoFilter="1">
      <autoFilter ref="$A$3:$H$10"/>
      <extLst>
        <ext uri="GoogleSheetsCustomDataVersion1">
          <go:sheetsCustomData xmlns:go="http://customooxmlschemas.google.com/" filterViewId="693099379"/>
        </ext>
      </extLst>
    </customSheetView>
  </customSheetViews>
  <mergeCells count="1">
    <mergeCell ref="A1:H1"/>
  </mergeCells>
  <conditionalFormatting sqref="H4:H10">
    <cfRule type="cellIs" dxfId="6" priority="1" operator="equal">
      <formula>"Agotado"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2" width="13.29"/>
    <col customWidth="1" min="3" max="3" width="13.0"/>
    <col customWidth="1" min="4" max="4" width="18.86"/>
    <col customWidth="1" min="5" max="5" width="15.86"/>
    <col customWidth="1" min="6" max="6" width="23.0"/>
    <col customWidth="1" min="7" max="7" width="30.0"/>
    <col customWidth="1" min="8" max="26" width="8.71"/>
  </cols>
  <sheetData>
    <row r="1" ht="27.75" customHeight="1">
      <c r="A1" s="19" t="s">
        <v>79</v>
      </c>
      <c r="B1" s="7"/>
      <c r="C1" s="7"/>
      <c r="D1" s="7"/>
      <c r="E1" s="7"/>
      <c r="F1" s="7"/>
      <c r="G1" s="9"/>
    </row>
    <row r="3">
      <c r="A3" s="20" t="s">
        <v>82</v>
      </c>
      <c r="B3" s="20" t="s">
        <v>75</v>
      </c>
      <c r="C3" s="20" t="s">
        <v>67</v>
      </c>
      <c r="D3" s="20" t="s">
        <v>71</v>
      </c>
      <c r="E3" s="20" t="s">
        <v>72</v>
      </c>
      <c r="F3" s="20" t="s">
        <v>85</v>
      </c>
      <c r="G3" s="20" t="s">
        <v>76</v>
      </c>
    </row>
    <row r="4">
      <c r="A4" s="21">
        <v>1.0</v>
      </c>
      <c r="B4" s="21" t="s">
        <v>33</v>
      </c>
      <c r="C4" s="21">
        <v>1.0</v>
      </c>
      <c r="D4" s="22">
        <v>10.0</v>
      </c>
      <c r="E4" s="22">
        <v>10.0</v>
      </c>
      <c r="F4" s="21" t="s">
        <v>86</v>
      </c>
      <c r="G4" s="21" t="str">
        <f t="shared" ref="G4:G8" si="1">IF(E4=C4*D4,"OK","REVISAR")</f>
        <v>OK</v>
      </c>
    </row>
    <row r="5">
      <c r="A5" s="21">
        <v>2.0</v>
      </c>
      <c r="B5" s="21" t="s">
        <v>43</v>
      </c>
      <c r="C5" s="21">
        <v>1.0</v>
      </c>
      <c r="D5" s="22">
        <v>10.0</v>
      </c>
      <c r="E5" s="22">
        <v>10.0</v>
      </c>
      <c r="F5" s="21" t="s">
        <v>86</v>
      </c>
      <c r="G5" s="21" t="str">
        <f t="shared" si="1"/>
        <v>OK</v>
      </c>
    </row>
    <row r="6">
      <c r="A6" s="21">
        <v>3.0</v>
      </c>
      <c r="B6" s="21" t="s">
        <v>47</v>
      </c>
      <c r="C6" s="21">
        <v>1.0</v>
      </c>
      <c r="D6" s="22">
        <v>6.0</v>
      </c>
      <c r="E6" s="22">
        <v>6.0</v>
      </c>
      <c r="F6" s="21" t="s">
        <v>86</v>
      </c>
      <c r="G6" s="21" t="str">
        <f t="shared" si="1"/>
        <v>OK</v>
      </c>
    </row>
    <row r="7">
      <c r="A7" s="21">
        <v>4.0</v>
      </c>
      <c r="B7" s="21" t="s">
        <v>51</v>
      </c>
      <c r="C7" s="21">
        <v>1.0</v>
      </c>
      <c r="D7" s="22">
        <v>5.5</v>
      </c>
      <c r="E7" s="22">
        <v>5.5</v>
      </c>
      <c r="F7" s="21" t="s">
        <v>86</v>
      </c>
      <c r="G7" s="21" t="str">
        <f t="shared" si="1"/>
        <v>OK</v>
      </c>
    </row>
    <row r="8">
      <c r="A8" s="21">
        <v>5.0</v>
      </c>
      <c r="B8" s="21" t="s">
        <v>55</v>
      </c>
      <c r="C8" s="21">
        <v>2.0</v>
      </c>
      <c r="D8" s="22">
        <v>2.0</v>
      </c>
      <c r="E8" s="22">
        <v>4.0</v>
      </c>
      <c r="F8" s="21" t="s">
        <v>86</v>
      </c>
      <c r="G8" s="21" t="str">
        <f t="shared" si="1"/>
        <v>OK</v>
      </c>
    </row>
    <row r="9">
      <c r="A9" s="24" t="s">
        <v>87</v>
      </c>
      <c r="B9" s="25"/>
      <c r="C9" s="25"/>
      <c r="D9" s="25"/>
      <c r="E9" s="26">
        <f>SUM(E4:E8)</f>
        <v>35.5</v>
      </c>
      <c r="F9" s="25"/>
      <c r="G9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404BBBC-5C56-413D-91CA-6AF0FB3AF146}" filter="1" showAutoFilter="1">
      <autoFilter ref="$A$3:$G$8"/>
      <extLst>
        <ext uri="GoogleSheetsCustomDataVersion1">
          <go:sheetsCustomData xmlns:go="http://customooxmlschemas.google.com/" filterViewId="1845465088"/>
        </ext>
      </extLst>
    </customSheetView>
  </customSheetViews>
  <mergeCells count="1">
    <mergeCell ref="A1:G1"/>
  </mergeCells>
  <conditionalFormatting sqref="G4:G8">
    <cfRule type="cellIs" dxfId="5" priority="1" operator="equal">
      <formula>"REVISAR"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30.0"/>
    <col customWidth="1" min="5" max="26" width="8.71"/>
  </cols>
  <sheetData>
    <row r="1" ht="27.75" customHeight="1">
      <c r="A1" s="19" t="s">
        <v>88</v>
      </c>
      <c r="B1" s="7"/>
      <c r="C1" s="7"/>
      <c r="D1" s="9"/>
    </row>
    <row r="3">
      <c r="A3" s="6" t="s">
        <v>89</v>
      </c>
    </row>
    <row r="4">
      <c r="A4" s="16" t="s">
        <v>90</v>
      </c>
      <c r="B4" s="16">
        <f>COUNT(ETL_Ventas!$H$4:$H$8)</f>
        <v>5</v>
      </c>
    </row>
    <row r="5">
      <c r="A5" s="16" t="s">
        <v>91</v>
      </c>
      <c r="B5" s="27">
        <f>AVERAGE(ETL_Ventas!$H$4:$H$8)</f>
        <v>7.6</v>
      </c>
    </row>
    <row r="6">
      <c r="A6" s="16" t="s">
        <v>92</v>
      </c>
      <c r="B6" s="27">
        <f>MIN(ETL_Ventas!$H$4:$H$8)</f>
        <v>4</v>
      </c>
    </row>
    <row r="7">
      <c r="A7" s="16" t="s">
        <v>93</v>
      </c>
      <c r="B7" s="27">
        <f>MAX(ETL_Ventas!$H$4:$H$8)</f>
        <v>16</v>
      </c>
    </row>
    <row r="8">
      <c r="A8" s="16" t="s">
        <v>94</v>
      </c>
      <c r="B8" s="27">
        <f>_xlfn.STDEV.S(ETL_Ventas!$H$4:$H$8)</f>
        <v>4.929503018</v>
      </c>
    </row>
    <row r="9">
      <c r="A9" s="16" t="s">
        <v>95</v>
      </c>
      <c r="B9" s="27">
        <f>_xlfn.QUARTILE.INC(ETL_Ventas!$H$4:$H$8,1)</f>
        <v>5</v>
      </c>
    </row>
    <row r="10">
      <c r="A10" s="16" t="s">
        <v>96</v>
      </c>
      <c r="B10" s="27">
        <f>MEDIAN(ETL_Ventas!$H$4:$H$8)</f>
        <v>5</v>
      </c>
    </row>
    <row r="11">
      <c r="A11" s="16" t="s">
        <v>97</v>
      </c>
      <c r="B11" s="27">
        <f>_xlfn.QUARTILE.INC(ETL_Ventas!$H$4:$H$8,3)</f>
        <v>8</v>
      </c>
    </row>
    <row r="12">
      <c r="A12" s="16" t="s">
        <v>98</v>
      </c>
      <c r="B12" s="27">
        <f>B11-B9</f>
        <v>3</v>
      </c>
    </row>
    <row r="13">
      <c r="A13" s="16" t="s">
        <v>99</v>
      </c>
      <c r="B13" s="27">
        <f>B9-1.5*B12</f>
        <v>0.5</v>
      </c>
    </row>
    <row r="14">
      <c r="A14" s="16" t="s">
        <v>100</v>
      </c>
      <c r="B14" s="27">
        <f>B11+1.5*B12</f>
        <v>12.5</v>
      </c>
    </row>
    <row r="17">
      <c r="A17" s="6" t="s">
        <v>101</v>
      </c>
    </row>
    <row r="18">
      <c r="A18" s="28" t="s">
        <v>8</v>
      </c>
      <c r="B18" s="28" t="s">
        <v>102</v>
      </c>
      <c r="C18" s="28" t="s">
        <v>103</v>
      </c>
      <c r="D18" s="28" t="s">
        <v>104</v>
      </c>
    </row>
    <row r="19">
      <c r="A19" s="16" t="s">
        <v>44</v>
      </c>
      <c r="B19" s="16">
        <f>SUMIF(ETL_Ventas!$C$4:$C$8,A19,ETL_Ventas!$D$4:$D$8)</f>
        <v>2</v>
      </c>
      <c r="C19" s="27">
        <f>SUMIF(ETL_Ventas!$C$4:$C$8,A19,ETL_Ventas!$H$4:$H$8)</f>
        <v>16</v>
      </c>
      <c r="D19" s="27">
        <f>SUMIF(ETL_Ventas!$C$4:$C$8,A19,ETL_Ventas!$I$4:$I$8)</f>
        <v>8</v>
      </c>
    </row>
    <row r="20">
      <c r="A20" s="16" t="s">
        <v>49</v>
      </c>
      <c r="B20" s="16">
        <f>SUMIF(ETL_Ventas!$C$4:$C$8,A20,ETL_Ventas!$D$4:$D$8)</f>
        <v>3</v>
      </c>
      <c r="C20" s="27">
        <f>SUMIF(ETL_Ventas!$C$4:$C$8,A20,ETL_Ventas!$H$4:$H$8)</f>
        <v>12</v>
      </c>
      <c r="D20" s="27">
        <f>SUMIF(ETL_Ventas!$C$4:$C$8,A20,ETL_Ventas!$I$4:$I$8)</f>
        <v>6</v>
      </c>
    </row>
    <row r="21" ht="15.75" customHeight="1">
      <c r="A21" s="16" t="s">
        <v>29</v>
      </c>
      <c r="B21" s="16">
        <f>SUMIF(ETL_Ventas!$C$4:$C$8,A21,ETL_Ventas!$D$4:$D$8)</f>
        <v>4</v>
      </c>
      <c r="C21" s="27">
        <f>SUMIF(ETL_Ventas!$C$4:$C$8,A21,ETL_Ventas!$H$4:$H$8)</f>
        <v>10</v>
      </c>
      <c r="D21" s="27">
        <f>SUMIF(ETL_Ventas!$C$4:$C$8,A21,ETL_Ventas!$I$4:$I$8)</f>
        <v>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30.0"/>
    <col customWidth="1" min="5" max="5" width="19.0"/>
    <col customWidth="1" min="6" max="6" width="10.0"/>
    <col customWidth="1" min="7" max="26" width="8.71"/>
  </cols>
  <sheetData>
    <row r="1" ht="27.75" customHeight="1">
      <c r="A1" s="19" t="s">
        <v>124</v>
      </c>
      <c r="B1" s="7"/>
      <c r="C1" s="7"/>
      <c r="D1" s="7"/>
      <c r="E1" s="7"/>
      <c r="F1" s="9"/>
    </row>
    <row r="3">
      <c r="A3" s="6" t="s">
        <v>125</v>
      </c>
    </row>
    <row r="4">
      <c r="A4" s="28" t="s">
        <v>8</v>
      </c>
      <c r="B4" s="28" t="s">
        <v>20</v>
      </c>
      <c r="C4" s="28" t="s">
        <v>103</v>
      </c>
      <c r="D4" s="28" t="s">
        <v>104</v>
      </c>
      <c r="E4" s="28" t="s">
        <v>126</v>
      </c>
    </row>
    <row r="5">
      <c r="A5" s="16" t="s">
        <v>44</v>
      </c>
      <c r="B5" s="16">
        <f>SUMIF(ETL_Ventas!$C$4:$C$8,A5,ETL_Ventas!$D$4:$D$8)</f>
        <v>2</v>
      </c>
      <c r="C5" s="27">
        <f>SUMIF(ETL_Ventas!$C$4:$C$8,A5,ETL_Ventas!$H$4:$H$8)</f>
        <v>16</v>
      </c>
      <c r="D5" s="27">
        <f>SUMIF(ETL_Ventas!$C$4:$C$8,A5,ETL_Ventas!$I$4:$I$8)</f>
        <v>8</v>
      </c>
      <c r="E5" s="32">
        <f t="shared" ref="E5:E7" si="1">IF(C5=0,0,D5/C5)</f>
        <v>0.5</v>
      </c>
      <c r="F5" s="17"/>
    </row>
    <row r="6">
      <c r="A6" s="16" t="s">
        <v>49</v>
      </c>
      <c r="B6" s="16">
        <f>SUMIF(ETL_Ventas!$C$4:$C$8,A6,ETL_Ventas!$D$4:$D$8)</f>
        <v>3</v>
      </c>
      <c r="C6" s="27">
        <f>SUMIF(ETL_Ventas!$C$4:$C$8,A6,ETL_Ventas!$H$4:$H$8)</f>
        <v>12</v>
      </c>
      <c r="D6" s="27">
        <f>SUMIF(ETL_Ventas!$C$4:$C$8,A6,ETL_Ventas!$I$4:$I$8)</f>
        <v>6</v>
      </c>
      <c r="E6" s="32">
        <f t="shared" si="1"/>
        <v>0.5</v>
      </c>
      <c r="F6" s="17"/>
    </row>
    <row r="7">
      <c r="A7" s="16" t="s">
        <v>29</v>
      </c>
      <c r="B7" s="16">
        <f>SUMIF(ETL_Ventas!$C$4:$C$8,A7,ETL_Ventas!$D$4:$D$8)</f>
        <v>4</v>
      </c>
      <c r="C7" s="27">
        <f>SUMIF(ETL_Ventas!$C$4:$C$8,A7,ETL_Ventas!$H$4:$H$8)</f>
        <v>10</v>
      </c>
      <c r="D7" s="27">
        <f>SUMIF(ETL_Ventas!$C$4:$C$8,A7,ETL_Ventas!$I$4:$I$8)</f>
        <v>4</v>
      </c>
      <c r="E7" s="32">
        <f t="shared" si="1"/>
        <v>0.4</v>
      </c>
      <c r="F7" s="17"/>
    </row>
    <row r="10">
      <c r="A10" s="6" t="s">
        <v>127</v>
      </c>
    </row>
    <row r="11">
      <c r="A11" s="13" t="s">
        <v>128</v>
      </c>
    </row>
    <row r="14">
      <c r="A14" s="6" t="s">
        <v>129</v>
      </c>
    </row>
    <row r="15">
      <c r="A15" s="16" t="s">
        <v>130</v>
      </c>
      <c r="B15" s="32">
        <f>SUM(ETL_Ventas!I4:I8)/SUM(ETL_Ventas!H4:H8)</f>
        <v>0.4736842105</v>
      </c>
    </row>
    <row r="16">
      <c r="A16" s="16" t="s">
        <v>103</v>
      </c>
      <c r="B16" s="27">
        <f>SUM(ETL_Ventas!H4:H8)</f>
        <v>38</v>
      </c>
    </row>
    <row r="17">
      <c r="A17" s="16" t="s">
        <v>104</v>
      </c>
      <c r="B17" s="27">
        <f>SUM(ETL_Ventas!I4:I8)</f>
        <v>18</v>
      </c>
    </row>
    <row r="18">
      <c r="A18" s="16" t="s">
        <v>131</v>
      </c>
      <c r="B18" s="27">
        <f>SUM(ETL_Compras!E4:E8)</f>
        <v>35.5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0.0"/>
    <col customWidth="1" min="3" max="4" width="10.0"/>
    <col customWidth="1" min="5" max="26" width="8.71"/>
  </cols>
  <sheetData>
    <row r="1" ht="27.75" customHeight="1">
      <c r="A1" s="19" t="s">
        <v>105</v>
      </c>
      <c r="B1" s="7"/>
      <c r="C1" s="7"/>
      <c r="D1" s="9"/>
    </row>
    <row r="3">
      <c r="A3" s="6" t="s">
        <v>106</v>
      </c>
    </row>
    <row r="4">
      <c r="A4" s="16" t="s">
        <v>107</v>
      </c>
      <c r="B4" s="30">
        <f>CORREL(ETL_Ventas!$D$4:$D$8,ETL_Ventas!$H$4:$H$8)</f>
        <v>0.4082482905</v>
      </c>
    </row>
    <row r="5">
      <c r="A5" s="16" t="s">
        <v>111</v>
      </c>
      <c r="B5" s="16" t="str">
        <f>IF(ABS(B4)&gt;=0.7,"Correlación fuerte",IF(ABS(B4)&gt;=0.3,"Correlación moderada","Correlación débil"))&amp;IF(B4&gt;=0," positiva."," negativa.")</f>
        <v>Correlación moderada positiva.</v>
      </c>
    </row>
    <row r="7">
      <c r="A7" s="16" t="s">
        <v>116</v>
      </c>
      <c r="B7" s="16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30.0"/>
    <col customWidth="1" min="3" max="6" width="10.0"/>
    <col customWidth="1" min="7" max="26" width="8.71"/>
  </cols>
  <sheetData>
    <row r="1" ht="27.75" customHeight="1">
      <c r="A1" s="19" t="s">
        <v>41</v>
      </c>
      <c r="B1" s="7"/>
      <c r="C1" s="7"/>
      <c r="D1" s="7"/>
      <c r="E1" s="7"/>
      <c r="F1" s="9"/>
    </row>
    <row r="2">
      <c r="A2" s="13" t="s">
        <v>108</v>
      </c>
    </row>
    <row r="4" ht="34.5" customHeight="1">
      <c r="A4" s="29" t="s">
        <v>109</v>
      </c>
      <c r="B4" s="31" t="s">
        <v>110</v>
      </c>
      <c r="C4" s="2"/>
      <c r="D4" s="2"/>
      <c r="E4" s="2"/>
      <c r="F4" s="3"/>
    </row>
    <row r="5" ht="34.5" customHeight="1">
      <c r="A5" s="29" t="s">
        <v>112</v>
      </c>
      <c r="B5" s="31" t="s">
        <v>113</v>
      </c>
      <c r="C5" s="2"/>
      <c r="D5" s="2"/>
      <c r="E5" s="2"/>
      <c r="F5" s="3"/>
    </row>
    <row r="6" ht="34.5" customHeight="1">
      <c r="A6" s="29" t="s">
        <v>114</v>
      </c>
      <c r="B6" s="31" t="s">
        <v>115</v>
      </c>
      <c r="C6" s="2"/>
      <c r="D6" s="2"/>
      <c r="E6" s="2"/>
      <c r="F6" s="3"/>
    </row>
    <row r="7" ht="34.5" customHeight="1">
      <c r="A7" s="29" t="s">
        <v>118</v>
      </c>
      <c r="B7" s="31" t="s">
        <v>119</v>
      </c>
      <c r="C7" s="2"/>
      <c r="D7" s="2"/>
      <c r="E7" s="2"/>
      <c r="F7" s="3"/>
    </row>
    <row r="8" ht="34.5" customHeight="1">
      <c r="A8" s="29" t="s">
        <v>120</v>
      </c>
      <c r="B8" s="31" t="s">
        <v>121</v>
      </c>
      <c r="C8" s="2"/>
      <c r="D8" s="2"/>
      <c r="E8" s="2"/>
      <c r="F8" s="3"/>
    </row>
    <row r="9" ht="34.5" customHeight="1">
      <c r="A9" s="29" t="s">
        <v>122</v>
      </c>
      <c r="B9" s="31" t="s">
        <v>123</v>
      </c>
      <c r="C9" s="2"/>
      <c r="D9" s="2"/>
      <c r="E9" s="2"/>
      <c r="F9" s="3"/>
    </row>
    <row r="12">
      <c r="A12" s="6"/>
    </row>
    <row r="13">
      <c r="A13" s="16"/>
      <c r="B13" s="27"/>
    </row>
    <row r="14">
      <c r="A14" s="16"/>
      <c r="B14" s="27"/>
    </row>
    <row r="15">
      <c r="A15" s="16"/>
      <c r="B15" s="27"/>
    </row>
    <row r="16">
      <c r="A16" s="16"/>
      <c r="B16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2:F2"/>
    <mergeCell ref="B4:F4"/>
    <mergeCell ref="B5:F5"/>
    <mergeCell ref="B6:F6"/>
    <mergeCell ref="B7:F7"/>
    <mergeCell ref="B8:F8"/>
    <mergeCell ref="B9:F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2026-08-13T13:47:56Z</dcterms:created>
  <dc:creator>openpyxl</dc:creator>
</cp:coreProperties>
</file>